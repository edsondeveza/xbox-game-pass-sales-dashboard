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studos\Excel\Arquivos da Aula Dio\DASHB\"/>
    </mc:Choice>
  </mc:AlternateContent>
  <xr:revisionPtr revIDLastSave="0" documentId="13_ncr:1_{68F08990-E1AA-4D09-B326-7A08939EFC87}" xr6:coauthVersionLast="47" xr6:coauthVersionMax="47" xr10:uidLastSave="{00000000-0000-0000-0000-000000000000}"/>
  <bookViews>
    <workbookView xWindow="21480" yWindow="-120" windowWidth="21840" windowHeight="13020" activeTab="4" xr2:uid="{28DD5B76-0634-4F87-BE60-8BFA7EF2E23B}"/>
  </bookViews>
  <sheets>
    <sheet name="Instruções" sheetId="8" r:id="rId1"/>
    <sheet name="A̳ssets" sheetId="1" state="hidden" r:id="rId2"/>
    <sheet name="B̳ases" sheetId="2" state="hidden" r:id="rId3"/>
    <sheet name="C̳álculos" sheetId="3" state="hidden" r:id="rId4"/>
    <sheet name="D̳ashboard" sheetId="4" r:id="rId5"/>
    <sheet name="Dashboard Engine" sheetId="5" state="hidden" r:id="rId6"/>
    <sheet name="Pivot Engine" sheetId="7" state="hidden" r:id="rId7"/>
  </sheets>
  <definedNames>
    <definedName name="DashboardMonths">'Dashboard Engine'!$B$3:$B$14</definedName>
    <definedName name="QuickPeriods">'Dashboard Engine'!$Z$2:$Z$8</definedName>
    <definedName name="SegmentaçãodeDados_Auto_Renewal">#N/A</definedName>
    <definedName name="SegmentaçãodeDados_EA_Play_Season_Pass">#N/A</definedName>
    <definedName name="SegmentaçãodeDados_Minecraft_Season_Pass">#N/A</definedName>
    <definedName name="SegmentaçãodeDados_Plan">#N/A</definedName>
    <definedName name="SegmentaçãodeDados_Subscription_Type">#N/A</definedName>
  </definedNames>
  <calcPr calcId="191029"/>
  <pivotCaches>
    <pivotCache cacheId="2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5" l="1"/>
  <c r="F5" i="5" s="1"/>
  <c r="AH3" i="5" l="1"/>
  <c r="F3" i="5"/>
  <c r="F2" i="5"/>
  <c r="AH4" i="5"/>
  <c r="F4" i="5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J6" i="5"/>
  <c r="J2" i="5"/>
  <c r="J1" i="5"/>
  <c r="S4" i="4"/>
  <c r="D64" i="3"/>
  <c r="D63" i="3"/>
  <c r="D62" i="3"/>
  <c r="C64" i="3"/>
  <c r="C63" i="3"/>
  <c r="C62" i="3"/>
  <c r="B44" i="3"/>
  <c r="D44" i="3" s="1"/>
  <c r="D37" i="3"/>
  <c r="D36" i="3"/>
  <c r="D35" i="3"/>
  <c r="C37" i="3"/>
  <c r="C36" i="3"/>
  <c r="C35" i="3"/>
  <c r="C29" i="3"/>
  <c r="C28" i="3"/>
  <c r="C22" i="3"/>
  <c r="C21" i="3"/>
  <c r="C14" i="3"/>
  <c r="C13" i="3"/>
  <c r="C7" i="3"/>
  <c r="X1" i="5"/>
  <c r="X5" i="5"/>
  <c r="X2" i="5"/>
  <c r="X3" i="5"/>
  <c r="X4" i="5"/>
  <c r="N23" i="5" l="1"/>
  <c r="K31" i="5"/>
  <c r="K27" i="5"/>
  <c r="K23" i="5"/>
  <c r="H22" i="5"/>
  <c r="B26" i="5"/>
  <c r="E4" i="5"/>
  <c r="G4" i="5" s="1"/>
  <c r="C80" i="3" s="1"/>
  <c r="AH5" i="5"/>
  <c r="K32" i="5"/>
  <c r="K24" i="5"/>
  <c r="E5" i="5"/>
  <c r="G5" i="5" s="1"/>
  <c r="C82" i="3" s="1"/>
  <c r="O23" i="5"/>
  <c r="N22" i="5"/>
  <c r="K30" i="5"/>
  <c r="K26" i="5"/>
  <c r="K22" i="5"/>
  <c r="H21" i="5"/>
  <c r="B25" i="5"/>
  <c r="V22" i="5" s="1"/>
  <c r="Q16" i="4" s="1"/>
  <c r="E3" i="5"/>
  <c r="G3" i="5" s="1"/>
  <c r="C78" i="3" s="1"/>
  <c r="K28" i="5"/>
  <c r="H23" i="5"/>
  <c r="A20" i="4"/>
  <c r="O22" i="5"/>
  <c r="N21" i="5"/>
  <c r="K29" i="5"/>
  <c r="K25" i="5"/>
  <c r="K21" i="5"/>
  <c r="E25" i="5"/>
  <c r="V24" i="5" s="1"/>
  <c r="B21" i="5"/>
  <c r="V21" i="5" s="1"/>
  <c r="F16" i="4" s="1"/>
  <c r="E2" i="5"/>
  <c r="G2" i="5" s="1"/>
  <c r="C76" i="3" s="1"/>
  <c r="O21" i="5"/>
  <c r="E21" i="5"/>
  <c r="V23" i="5" s="1"/>
  <c r="L28" i="5"/>
  <c r="L24" i="5"/>
  <c r="L32" i="5"/>
  <c r="L23" i="5"/>
  <c r="L27" i="5"/>
  <c r="L31" i="5"/>
  <c r="L21" i="5"/>
  <c r="L25" i="5"/>
  <c r="L29" i="5"/>
  <c r="J5" i="5"/>
  <c r="L22" i="5"/>
  <c r="L26" i="5"/>
  <c r="L30" i="5"/>
  <c r="J3" i="5"/>
  <c r="J4" i="5" s="1"/>
  <c r="E62" i="3"/>
  <c r="F62" i="3" s="1"/>
  <c r="E37" i="3"/>
  <c r="C15" i="3"/>
  <c r="E63" i="3"/>
  <c r="D65" i="3"/>
  <c r="E64" i="3"/>
  <c r="F64" i="3" s="1"/>
  <c r="E35" i="3"/>
  <c r="E36" i="3"/>
  <c r="C38" i="3"/>
  <c r="B45" i="3"/>
  <c r="C65" i="3"/>
  <c r="D38" i="3"/>
  <c r="C44" i="3"/>
  <c r="V26" i="5" l="1"/>
  <c r="Q55" i="4" s="1"/>
  <c r="V25" i="5"/>
  <c r="F55" i="4" s="1"/>
  <c r="S22" i="5"/>
  <c r="S21" i="5"/>
  <c r="P22" i="5"/>
  <c r="P23" i="5"/>
  <c r="P21" i="5"/>
  <c r="E65" i="3"/>
  <c r="F65" i="3" s="1"/>
  <c r="B71" i="3" s="1"/>
  <c r="F63" i="3"/>
  <c r="E38" i="3"/>
  <c r="D45" i="3"/>
  <c r="C45" i="3"/>
  <c r="B46" i="3"/>
  <c r="B69" i="3"/>
  <c r="V27" i="5" l="1"/>
  <c r="B47" i="3"/>
  <c r="D46" i="3"/>
  <c r="C46" i="3"/>
  <c r="B48" i="3" l="1"/>
  <c r="D47" i="3"/>
  <c r="C47" i="3"/>
  <c r="B49" i="3" l="1"/>
  <c r="D48" i="3"/>
  <c r="C48" i="3"/>
  <c r="B50" i="3" l="1"/>
  <c r="D49" i="3"/>
  <c r="C49" i="3"/>
  <c r="B51" i="3" l="1"/>
  <c r="D50" i="3"/>
  <c r="C50" i="3"/>
  <c r="B52" i="3" l="1"/>
  <c r="D51" i="3"/>
  <c r="C51" i="3"/>
  <c r="B53" i="3" l="1"/>
  <c r="D52" i="3"/>
  <c r="C52" i="3"/>
  <c r="B54" i="3" l="1"/>
  <c r="D53" i="3"/>
  <c r="C53" i="3"/>
  <c r="B55" i="3" l="1"/>
  <c r="D54" i="3"/>
  <c r="C54" i="3"/>
  <c r="D55" i="3" l="1"/>
  <c r="C55" i="3"/>
  <c r="C56" i="3" s="1"/>
  <c r="B70" i="3" l="1"/>
  <c r="D56" i="3"/>
</calcChain>
</file>

<file path=xl/sharedStrings.xml><?xml version="1.0" encoding="utf-8"?>
<sst xmlns="http://schemas.openxmlformats.org/spreadsheetml/2006/main" count="2820" uniqueCount="433">
  <si>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</si>
  <si>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</si>
  <si>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</si>
  <si>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</si>
  <si>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</si>
  <si>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</si>
  <si>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</si>
  <si>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</si>
  <si>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</si>
  <si>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</si>
  <si>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</si>
  <si>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</si>
  <si>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</si>
  <si>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</si>
  <si>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</si>
  <si>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</si>
  <si>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</si>
  <si>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</si>
  <si>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</si>
  <si>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</si>
  <si>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</si>
  <si>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</si>
  <si>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</si>
  <si>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</si>
  <si>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</si>
  <si>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</si>
  <si>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</si>
  <si>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</si>
  <si>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</si>
  <si>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</si>
  <si>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</si>
  <si>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</si>
  <si>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</si>
  <si>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</si>
  <si>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</si>
  <si>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</si>
  <si>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</si>
  <si>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</si>
  <si>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</si>
  <si>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</si>
  <si>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</si>
  <si>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</si>
  <si>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</si>
  <si>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</si>
  <si>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</si>
  <si>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</si>
  <si>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</si>
  <si>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</si>
  <si>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</si>
  <si>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</si>
  <si>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</si>
  <si>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</si>
  <si>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</si>
  <si>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</si>
  <si>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</si>
  <si>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</si>
  <si>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</si>
  <si>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</si>
  <si>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</si>
  <si>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</si>
  <si>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</si>
  <si>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</si>
  <si>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</si>
  <si>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</si>
  <si>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</si>
  <si>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</si>
  <si>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</si>
  <si>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</si>
  <si>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</si>
  <si>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</si>
  <si>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</si>
  <si>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</si>
  <si>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</si>
  <si>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</si>
  <si>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</si>
  <si>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</si>
  <si>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</si>
  <si>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</si>
  <si>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</si>
  <si>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</si>
  <si>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</si>
  <si>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</si>
  <si>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</si>
  <si>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</si>
  <si>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</si>
  <si>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</si>
  <si>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</si>
  <si>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</si>
  <si>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</si>
  <si>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</si>
  <si>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</si>
  <si>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</si>
  <si>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</si>
  <si>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</si>
  <si>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</si>
  <si>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</si>
  <si>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</si>
  <si>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</si>
  <si>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</si>
  <si>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</si>
  <si>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</si>
  <si>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</si>
  <si>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</si>
  <si>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</si>
  <si>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</si>
  <si>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</si>
  <si>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</si>
  <si>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</si>
  <si>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</si>
  <si>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</si>
  <si>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</si>
  <si>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</si>
  <si>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</si>
  <si>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</si>
  <si>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</si>
  <si>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</si>
  <si>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</si>
  <si>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</si>
  <si>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</si>
  <si>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</si>
  <si>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</si>
  <si>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</si>
  <si>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</si>
  <si>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</si>
  <si>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</si>
  <si>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</si>
  <si>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</si>
  <si>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</si>
  <si>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</si>
  <si>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</si>
  <si>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</si>
  <si>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</si>
  <si>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</si>
  <si>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</si>
  <si>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</si>
  <si>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</si>
  <si>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</si>
  <si>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</si>
  <si>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</si>
  <si>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</si>
  <si>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</si>
  <si>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</si>
  <si>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</si>
  <si>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</si>
  <si>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</si>
  <si>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</si>
  <si>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</si>
  <si>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</si>
  <si>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</si>
  <si>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</si>
  <si>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</si>
  <si>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</si>
  <si>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</si>
  <si>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</si>
  <si>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</si>
  <si>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</si>
  <si>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</si>
  <si>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</si>
  <si>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</si>
  <si>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</si>
  <si>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</si>
  <si>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</si>
  <si>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</si>
  <si>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</si>
  <si>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</si>
  <si>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</si>
  <si>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</si>
  <si>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</si>
  <si>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</si>
  <si>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</si>
  <si>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</si>
  <si>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</si>
  <si>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</si>
  <si>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</si>
  <si>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</si>
  <si>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</si>
  <si>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</si>
  <si>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</si>
  <si>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</si>
  <si>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</si>
  <si>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</si>
  <si>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</si>
  <si>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</si>
  <si>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</si>
  <si>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</si>
  <si>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</si>
  <si>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</si>
  <si>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</si>
  <si>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</si>
  <si>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</si>
  <si>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</si>
  <si>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</si>
  <si>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</si>
  <si>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</si>
  <si>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</si>
  <si>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</si>
  <si>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</si>
  <si>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</si>
  <si>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</si>
  <si>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</si>
  <si>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</si>
  <si>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</si>
  <si>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</si>
  <si>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</si>
  <si>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</si>
  <si>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</si>
  <si>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</si>
  <si>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</si>
  <si>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</si>
  <si>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</si>
  <si>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</si>
  <si>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</si>
  <si>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</si>
  <si>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</si>
  <si>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</si>
  <si>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</si>
  <si>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</si>
  <si>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</si>
  <si>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</si>
  <si>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</si>
  <si>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</si>
  <si>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</si>
  <si>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</si>
  <si>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</si>
  <si>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</si>
  <si>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</si>
  <si>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</si>
  <si>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</si>
  <si>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</si>
  <si>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</si>
  <si>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</si>
  <si>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</si>
  <si>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</si>
  <si>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</si>
  <si>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</si>
  <si>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</si>
  <si>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</si>
  <si>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</si>
  <si>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</si>
  <si>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</si>
  <si>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</si>
  <si>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</si>
  <si>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</si>
  <si>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</si>
  <si>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</si>
  <si>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</si>
  <si>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</si>
  <si>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</si>
  <si>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</si>
  <si>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</si>
  <si>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</si>
  <si>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</si>
  <si>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</si>
  <si>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</si>
  <si>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</si>
  <si>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</si>
  <si>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</si>
  <si>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</si>
  <si>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</si>
  <si>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</si>
  <si>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</si>
  <si>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</si>
  <si>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</si>
  <si>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</si>
  <si>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</si>
  <si>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</si>
  <si>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</si>
  <si>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</si>
  <si>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</si>
  <si>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</si>
  <si>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</si>
  <si>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</si>
  <si>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</si>
  <si>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</si>
  <si>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</si>
  <si>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</si>
  <si>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</si>
  <si>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</si>
  <si>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</si>
  <si>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</si>
  <si>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</si>
  <si>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</si>
  <si>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</si>
  <si>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</si>
  <si>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</si>
  <si>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</si>
  <si>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</si>
  <si>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</si>
  <si>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</si>
  <si>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</si>
  <si>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</si>
  <si>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</si>
  <si>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</si>
  <si>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</si>
  <si>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</si>
  <si>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</si>
  <si>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</si>
  <si>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</si>
  <si>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</si>
  <si>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</si>
  <si>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</si>
  <si>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</si>
  <si>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</si>
  <si>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</si>
  <si>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</si>
  <si>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</si>
  <si>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</si>
  <si>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</si>
  <si>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</si>
  <si>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</si>
  <si>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</si>
  <si>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</si>
  <si>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</si>
  <si>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ANÁLISE DE ASSINATURAS</t>
  </si>
  <si>
    <t>Perguntas de negócio respondidas com fórmulas dinâmicas sobre os 295 registros de 2024</t>
  </si>
  <si>
    <t>PERGUNTA 1 — FATURAMENTO DOS PLANOS ANUAIS</t>
  </si>
  <si>
    <t>Qual é o faturamento total das vendas de planos anuais, incluindo todas as assinaturas agregadas?</t>
  </si>
  <si>
    <t>Faturamento anual</t>
  </si>
  <si>
    <t>PERGUNTA 2 — FATURAMENTO ANUAL POR RENOVAÇÃO AUTOMÁTICA</t>
  </si>
  <si>
    <t>Como o faturamento dos planos anuais se divide entre clientes com e sem renovação automática?</t>
  </si>
  <si>
    <t>Renovação automática</t>
  </si>
  <si>
    <t>Total</t>
  </si>
  <si>
    <t>PERGUNTA 3 — VENDAS DO EA PLAY</t>
  </si>
  <si>
    <t>Qual é o total de vendas de assinaturas do EA Play?</t>
  </si>
  <si>
    <t>Indicador</t>
  </si>
  <si>
    <t>Resultado</t>
  </si>
  <si>
    <t>Quantidade de adesões</t>
  </si>
  <si>
    <t>Faturamento</t>
  </si>
  <si>
    <t>PERGUNTA 4 — VENDAS DO MINECRAFT SEASON PASS</t>
  </si>
  <si>
    <t>Qual é o total de vendas de assinaturas do Minecraft Season Pass?</t>
  </si>
  <si>
    <t>PERGUNTA 5 — DESEMPENHO POR PLANO</t>
  </si>
  <si>
    <t>Quais planos geram mais assinantes e faturamento, e qual é o ticket médio de cada um?</t>
  </si>
  <si>
    <t>Plano</t>
  </si>
  <si>
    <t>Assinantes</t>
  </si>
  <si>
    <t>Faturamento total</t>
  </si>
  <si>
    <t>Ticket médio</t>
  </si>
  <si>
    <t>PERGUNTA 6 — EVOLUÇÃO MENSAL</t>
  </si>
  <si>
    <t>Como evoluíram o faturamento total e as novas assinaturas ao longo de 2024?</t>
  </si>
  <si>
    <t>Mês</t>
  </si>
  <si>
    <t>Novas assinaturas</t>
  </si>
  <si>
    <t>PERGUNTA 7 — IMPACTO DOS CUPONS</t>
  </si>
  <si>
    <t>Qual é o valor concedido em cupons e qual sua participação no valor bruto, por plano?</t>
  </si>
  <si>
    <t>Cupons concedidos</t>
  </si>
  <si>
    <t>Faturamento líquido</t>
  </si>
  <si>
    <t>Valor bruto</t>
  </si>
  <si>
    <t>Taxa de desconto</t>
  </si>
  <si>
    <t>PRINCIPAIS CONCLUSÕES</t>
  </si>
  <si>
    <t>XBOX</t>
  </si>
  <si>
    <t>PERÍODO</t>
  </si>
  <si>
    <t>ASSINANTES</t>
  </si>
  <si>
    <t>CUPONS</t>
  </si>
  <si>
    <t>RENOVAÇÃO ANUAL</t>
  </si>
  <si>
    <t>Período</t>
  </si>
  <si>
    <t>Data</t>
  </si>
  <si>
    <t>Todos</t>
  </si>
  <si>
    <t>fev/2024</t>
  </si>
  <si>
    <t>abr/2024</t>
  </si>
  <si>
    <t>mai/2024</t>
  </si>
  <si>
    <t>ago/2024</t>
  </si>
  <si>
    <t>set/2024</t>
  </si>
  <si>
    <t>out/2024</t>
  </si>
  <si>
    <t>dez/2024</t>
  </si>
  <si>
    <t>Atual</t>
  </si>
  <si>
    <t>Receita</t>
  </si>
  <si>
    <t>Cupons</t>
  </si>
  <si>
    <t>Renovação anual</t>
  </si>
  <si>
    <t>Início atual</t>
  </si>
  <si>
    <t>Fim atual</t>
  </si>
  <si>
    <t>Início anterior</t>
  </si>
  <si>
    <t>Fim anterior</t>
  </si>
  <si>
    <t>Categoria</t>
  </si>
  <si>
    <t>Planos anuais</t>
  </si>
  <si>
    <t>Renovação</t>
  </si>
  <si>
    <t>Produto</t>
  </si>
  <si>
    <t>EA Play</t>
  </si>
  <si>
    <t>Minecraft</t>
  </si>
  <si>
    <t>Líquido</t>
  </si>
  <si>
    <t>Bruto</t>
  </si>
  <si>
    <t>FILTROS</t>
  </si>
  <si>
    <t>XBOX GAME PASS SUBSCRIPTIONS SALES</t>
  </si>
  <si>
    <t>Dashboard interativo de assinaturas, passes, planos e descontos</t>
  </si>
  <si>
    <t>Use os filtros em conjunto para comparar segmentos</t>
  </si>
  <si>
    <t xml:space="preserve">Receita Total </t>
  </si>
  <si>
    <t>Meses selecionados</t>
  </si>
  <si>
    <t>Intervalo válido</t>
  </si>
  <si>
    <t>Painel</t>
  </si>
  <si>
    <t>Tem dados</t>
  </si>
  <si>
    <t>Planos</t>
  </si>
  <si>
    <t>Evolução</t>
  </si>
  <si>
    <t>Período selecionado</t>
  </si>
  <si>
    <t>Month Start</t>
  </si>
  <si>
    <t>Year</t>
  </si>
  <si>
    <t>Soma de Total Value</t>
  </si>
  <si>
    <t>Contagem de Subscriber ID</t>
  </si>
  <si>
    <t>Soma de Coupon Value</t>
  </si>
  <si>
    <t>Total Geral</t>
  </si>
  <si>
    <t>Soma de EA Play Season Pass
Price</t>
  </si>
  <si>
    <t>Soma de Minecraft Season Pass Price</t>
  </si>
  <si>
    <t>Status</t>
  </si>
  <si>
    <t>Valor</t>
  </si>
  <si>
    <t>Todos os controles abaixo afetam indicadores e gráficos</t>
  </si>
  <si>
    <t>Períodos rápidos</t>
  </si>
  <si>
    <t>Ano completo</t>
  </si>
  <si>
    <t>1º semestre</t>
  </si>
  <si>
    <t>2º semestre</t>
  </si>
  <si>
    <t>1º trimestre</t>
  </si>
  <si>
    <t>2º trimestre</t>
  </si>
  <si>
    <t>3º trimestre</t>
  </si>
  <si>
    <t>4º trimestre</t>
  </si>
  <si>
    <t>Início</t>
  </si>
  <si>
    <t>Fim exclusivo</t>
  </si>
  <si>
    <t>Parâmetro</t>
  </si>
  <si>
    <t>Período escolhido</t>
  </si>
  <si>
    <t>Duração em meses</t>
  </si>
  <si>
    <t xml:space="preserve">   </t>
  </si>
  <si>
    <t>GUIA DE UTILIZAÇÃO</t>
  </si>
  <si>
    <t>Como explorar o dashboard de assinaturas Xbox Game Pass</t>
  </si>
  <si>
    <t>1  ESCOLHA O PERÍODO</t>
  </si>
  <si>
    <t>Na barra lateral do Dashboard, escolha Ano completo, um semestre ou um trimestre. Os cartões e gráficos serão recalculados automaticamente.</t>
  </si>
  <si>
    <t>2  COMBINE OS FILTROS</t>
  </si>
  <si>
    <t>Use Plano, Renovação, Periodicidade, EA Play e Minecraft em conjunto para comparar segmentos específicos.</t>
  </si>
  <si>
    <t>3  LEIA OS CARTÕES</t>
  </si>
  <si>
    <t>Receita, Assinantes, Cupons e Renovação mostram o resultado do período selecionado e a variação contra o período anterior equivalente.</t>
  </si>
  <si>
    <t>4  EXPLORE OS GRÁFICOS</t>
  </si>
  <si>
    <t>Analise faturamento anual, renovação, passes, planos, evolução mensal e impacto dos cupons com os mesmos filtros.</t>
  </si>
  <si>
    <t>PASSO A PASSO</t>
  </si>
  <si>
    <t>1. Abra a aba D̳ashboard.</t>
  </si>
  <si>
    <t>2. Selecione o período no primeiro controle da barra lateral.</t>
  </si>
  <si>
    <t>3. Aplique um ou mais filtros categóricos para comparar segmentos.</t>
  </si>
  <si>
    <t>4. Use o ícone de limpar filtro em cada segmentação para voltar à visão completa.</t>
  </si>
  <si>
    <t>DICAS IMPORTANTES</t>
  </si>
  <si>
    <t>• Para comparar categorias, altere um filtro por vez e observe cartões e gráficos.
• Combinações sem registros aparecem como “SEM DADOS”.
• O período anterior é calculado automaticamente com a mesma duração.</t>
  </si>
  <si>
    <t>D̳ASHBOARD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</si>
</sst>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5" formatCode="[$R$-416]\ #,##0.00"/>
    <numFmt numFmtId="166" formatCode="mmm/yyyy"/>
    <numFmt numFmtId="167" formatCode="0.0%"/>
    <numFmt numFmtId="170" formatCode="&quot;R$&quot;\ #,##0.00"/>
  </numFmts>
  <fonts count="3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02020"/>
      <name val="Aptos"/>
    </font>
    <font>
      <b/>
      <sz val="18"/>
      <color rgb="FFFFFFFF"/>
      <name val="Aptos"/>
    </font>
    <font>
      <i/>
      <sz val="10"/>
      <color rgb="FF666666"/>
      <name val="Aptos"/>
    </font>
    <font>
      <b/>
      <sz val="12"/>
      <color rgb="FFFFFFFF"/>
      <name val="Aptos"/>
    </font>
    <font>
      <i/>
      <sz val="10"/>
      <color rgb="FF3F3F3F"/>
      <name val="Aptos"/>
    </font>
    <font>
      <b/>
      <sz val="10"/>
      <color rgb="FF12372A"/>
      <name val="Aptos"/>
    </font>
    <font>
      <b/>
      <sz val="10"/>
      <color rgb="FF202020"/>
      <name val="Aptos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9"/>
      <color rgb="FF666666"/>
      <name val="Aptos Narrow"/>
      <family val="2"/>
      <scheme val="minor"/>
    </font>
    <font>
      <b/>
      <sz val="11"/>
      <color rgb="FF107C10"/>
      <name val="Aptos Narrow"/>
      <family val="2"/>
      <scheme val="minor"/>
    </font>
    <font>
      <b/>
      <sz val="20"/>
      <color theme="9" tint="-0.249977111117893"/>
      <name val="Aptos"/>
      <family val="2"/>
    </font>
    <font>
      <b/>
      <sz val="20"/>
      <color rgb="FF107C10"/>
      <name val="Aptos Narrow"/>
      <family val="2"/>
      <scheme val="minor"/>
    </font>
    <font>
      <sz val="11"/>
      <color rgb="FF252525"/>
      <name val="Aptos"/>
      <family val="2"/>
    </font>
    <font>
      <b/>
      <sz val="8"/>
      <color rgb="FF666666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b/>
      <sz val="18"/>
      <color rgb="FF22C55E"/>
      <name val="Segoe UI"/>
      <family val="2"/>
    </font>
    <font>
      <i/>
      <sz val="12"/>
      <name val="Aptos Narrow"/>
      <family val="2"/>
      <scheme val="minor"/>
    </font>
    <font>
      <sz val="11"/>
      <color rgb="FF666666"/>
      <name val="Aptos"/>
      <family val="2"/>
    </font>
    <font>
      <b/>
      <sz val="16"/>
      <color rgb="FF107C1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1"/>
      <color rgb="FF173A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FF4D0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5F0B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ck">
        <color rgb="FF9BC848"/>
      </bottom>
      <diagonal/>
    </border>
    <border>
      <left/>
      <right/>
      <top/>
      <bottom style="thin">
        <color rgb="FFE8E6E9"/>
      </bottom>
      <diagonal/>
    </border>
    <border>
      <left/>
      <right style="thin">
        <color rgb="FFE8E6E9"/>
      </right>
      <top/>
      <bottom style="thin">
        <color rgb="FFE8E6E9"/>
      </bottom>
      <diagonal/>
    </border>
    <border>
      <left/>
      <right style="thin">
        <color rgb="FFE8E6E9"/>
      </right>
      <top/>
      <bottom/>
      <diagonal/>
    </border>
    <border>
      <left/>
      <right/>
      <top/>
      <bottom style="thick">
        <color rgb="FF22C55E"/>
      </bottom>
      <diagonal/>
    </border>
    <border>
      <left style="thick">
        <color rgb="FF22C55E"/>
      </left>
      <right/>
      <top style="thick">
        <color rgb="FF22C55E"/>
      </top>
      <bottom/>
      <diagonal/>
    </border>
    <border>
      <left/>
      <right/>
      <top style="thick">
        <color rgb="FF22C55E"/>
      </top>
      <bottom/>
      <diagonal/>
    </border>
    <border>
      <left/>
      <right style="thick">
        <color rgb="FF22C55E"/>
      </right>
      <top style="thick">
        <color rgb="FF22C55E"/>
      </top>
      <bottom/>
      <diagonal/>
    </border>
    <border>
      <left style="thick">
        <color rgb="FF22C55E"/>
      </left>
      <right/>
      <top/>
      <bottom/>
      <diagonal/>
    </border>
    <border>
      <left/>
      <right style="thick">
        <color rgb="FF22C55E"/>
      </right>
      <top/>
      <bottom/>
      <diagonal/>
    </border>
    <border>
      <left style="thick">
        <color rgb="FF22C55E"/>
      </left>
      <right/>
      <top/>
      <bottom style="thick">
        <color rgb="FF22C55E"/>
      </bottom>
      <diagonal/>
    </border>
    <border>
      <left/>
      <right style="thin">
        <color rgb="FFE8E6E9"/>
      </right>
      <top/>
      <bottom style="thick">
        <color rgb="FF22C55E"/>
      </bottom>
      <diagonal/>
    </border>
    <border>
      <left/>
      <right style="thick">
        <color rgb="FF22C55E"/>
      </right>
      <top/>
      <bottom style="thick">
        <color rgb="FF22C55E"/>
      </bottom>
      <diagonal/>
    </border>
    <border>
      <left style="thick">
        <color rgb="FF00B050"/>
      </left>
      <right/>
      <top style="thick">
        <color rgb="FF00B050"/>
      </top>
      <bottom style="medium">
        <color rgb="FF00B050"/>
      </bottom>
      <diagonal/>
    </border>
    <border>
      <left/>
      <right/>
      <top style="thick">
        <color rgb="FF00B050"/>
      </top>
      <bottom style="medium">
        <color rgb="FF00B050"/>
      </bottom>
      <diagonal/>
    </border>
    <border>
      <left/>
      <right style="thick">
        <color rgb="FF00B050"/>
      </right>
      <top style="thick">
        <color rgb="FF00B050"/>
      </top>
      <bottom style="medium">
        <color rgb="FF00B050"/>
      </bottom>
      <diagonal/>
    </border>
    <border>
      <left style="thick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thick">
        <color rgb="FF00B050"/>
      </right>
      <top style="medium">
        <color rgb="FF00B050"/>
      </top>
      <bottom style="medium">
        <color rgb="FF00B050"/>
      </bottom>
      <diagonal/>
    </border>
    <border>
      <left style="thick">
        <color rgb="FF00B050"/>
      </left>
      <right/>
      <top style="medium">
        <color rgb="FF00B050"/>
      </top>
      <bottom style="thick">
        <color rgb="FF00B050"/>
      </bottom>
      <diagonal/>
    </border>
    <border>
      <left/>
      <right/>
      <top style="medium">
        <color rgb="FF00B050"/>
      </top>
      <bottom style="thick">
        <color rgb="FF00B050"/>
      </bottom>
      <diagonal/>
    </border>
    <border>
      <left/>
      <right style="thick">
        <color rgb="FF00B050"/>
      </right>
      <top style="medium">
        <color rgb="FF00B050"/>
      </top>
      <bottom style="thick">
        <color rgb="FF00B05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E8E6E9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8" fillId="9" borderId="0" xfId="0" applyFont="1" applyFill="1" applyBorder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9" fillId="5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165" fontId="4" fillId="0" borderId="6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vertical="center"/>
    </xf>
    <xf numFmtId="167" fontId="4" fillId="0" borderId="6" xfId="0" applyNumberFormat="1" applyFont="1" applyFill="1" applyBorder="1" applyAlignment="1">
      <alignment vertical="center"/>
    </xf>
    <xf numFmtId="0" fontId="10" fillId="9" borderId="6" xfId="0" applyFont="1" applyFill="1" applyBorder="1" applyAlignment="1">
      <alignment vertical="center"/>
    </xf>
    <xf numFmtId="0" fontId="10" fillId="9" borderId="0" xfId="0" applyFont="1" applyFill="1" applyAlignment="1">
      <alignment vertical="center"/>
    </xf>
    <xf numFmtId="165" fontId="10" fillId="9" borderId="6" xfId="0" applyNumberFormat="1" applyFont="1" applyFill="1" applyBorder="1" applyAlignment="1">
      <alignment vertical="center"/>
    </xf>
    <xf numFmtId="167" fontId="10" fillId="9" borderId="6" xfId="0" applyNumberFormat="1" applyFont="1" applyFill="1" applyBorder="1" applyAlignment="1">
      <alignment vertical="center"/>
    </xf>
    <xf numFmtId="0" fontId="10" fillId="10" borderId="0" xfId="0" applyFont="1" applyFill="1" applyAlignment="1">
      <alignment vertical="center"/>
    </xf>
    <xf numFmtId="3" fontId="4" fillId="0" borderId="6" xfId="0" applyNumberFormat="1" applyFont="1" applyFill="1" applyBorder="1" applyAlignment="1">
      <alignment vertical="center"/>
    </xf>
    <xf numFmtId="3" fontId="10" fillId="9" borderId="6" xfId="0" applyNumberFormat="1" applyFont="1" applyFill="1" applyBorder="1" applyAlignment="1">
      <alignment vertical="center"/>
    </xf>
    <xf numFmtId="0" fontId="12" fillId="8" borderId="0" xfId="0" applyFont="1" applyFill="1"/>
    <xf numFmtId="0" fontId="13" fillId="11" borderId="0" xfId="0" applyFont="1" applyFill="1" applyAlignment="1">
      <alignment wrapText="1"/>
    </xf>
    <xf numFmtId="165" fontId="18" fillId="10" borderId="0" xfId="0" applyNumberFormat="1" applyFont="1" applyFill="1" applyAlignment="1">
      <alignment vertical="center"/>
    </xf>
    <xf numFmtId="17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0" xfId="0" applyFill="1"/>
    <xf numFmtId="0" fontId="20" fillId="4" borderId="0" xfId="0" applyFont="1" applyFill="1"/>
    <xf numFmtId="0" fontId="15" fillId="4" borderId="0" xfId="0" applyFont="1" applyFill="1" applyAlignment="1">
      <alignment horizontal="center" vertical="center"/>
    </xf>
    <xf numFmtId="0" fontId="20" fillId="0" borderId="0" xfId="0" applyFont="1" applyFill="1"/>
    <xf numFmtId="0" fontId="15" fillId="4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0" fillId="7" borderId="0" xfId="0" applyFont="1" applyFill="1"/>
    <xf numFmtId="0" fontId="16" fillId="7" borderId="0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vertical="center"/>
    </xf>
    <xf numFmtId="0" fontId="17" fillId="7" borderId="0" xfId="0" applyFont="1" applyFill="1" applyBorder="1" applyAlignment="1">
      <alignment vertical="center"/>
    </xf>
    <xf numFmtId="0" fontId="17" fillId="7" borderId="12" xfId="0" applyFont="1" applyFill="1" applyBorder="1" applyAlignment="1">
      <alignment vertical="center"/>
    </xf>
    <xf numFmtId="0" fontId="17" fillId="7" borderId="0" xfId="0" applyFont="1" applyFill="1" applyBorder="1" applyAlignment="1">
      <alignment vertical="center"/>
    </xf>
    <xf numFmtId="0" fontId="20" fillId="7" borderId="0" xfId="0" applyFont="1" applyFill="1" applyBorder="1"/>
    <xf numFmtId="0" fontId="20" fillId="7" borderId="12" xfId="0" applyFont="1" applyFill="1" applyBorder="1"/>
    <xf numFmtId="0" fontId="20" fillId="7" borderId="10" xfId="0" applyFont="1" applyFill="1" applyBorder="1"/>
    <xf numFmtId="0" fontId="20" fillId="7" borderId="11" xfId="0" applyFont="1" applyFill="1" applyBorder="1"/>
    <xf numFmtId="0" fontId="14" fillId="16" borderId="0" xfId="0" applyFont="1" applyFill="1" applyAlignment="1">
      <alignment vertical="center"/>
    </xf>
    <xf numFmtId="0" fontId="24" fillId="16" borderId="13" xfId="0" applyFont="1" applyFill="1" applyBorder="1" applyAlignment="1">
      <alignment horizontal="left" indent="10"/>
    </xf>
    <xf numFmtId="0" fontId="14" fillId="16" borderId="13" xfId="0" applyFont="1" applyFill="1" applyBorder="1" applyAlignment="1">
      <alignment vertical="center"/>
    </xf>
    <xf numFmtId="0" fontId="0" fillId="16" borderId="13" xfId="0" applyFill="1" applyBorder="1"/>
    <xf numFmtId="0" fontId="23" fillId="16" borderId="13" xfId="0" applyFont="1" applyFill="1" applyBorder="1" applyAlignment="1">
      <alignment vertical="center"/>
    </xf>
    <xf numFmtId="0" fontId="23" fillId="16" borderId="0" xfId="0" applyFont="1" applyFill="1" applyAlignment="1">
      <alignment vertical="center"/>
    </xf>
    <xf numFmtId="0" fontId="16" fillId="7" borderId="0" xfId="0" applyFont="1" applyFill="1" applyBorder="1" applyAlignment="1">
      <alignment horizontal="center" vertical="center"/>
    </xf>
    <xf numFmtId="165" fontId="19" fillId="7" borderId="0" xfId="0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167" fontId="19" fillId="7" borderId="0" xfId="0" applyNumberFormat="1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20" fillId="7" borderId="0" xfId="0" applyFont="1" applyFill="1" applyBorder="1" applyAlignment="1"/>
    <xf numFmtId="0" fontId="0" fillId="7" borderId="0" xfId="0" applyFill="1" applyBorder="1"/>
    <xf numFmtId="0" fontId="0" fillId="0" borderId="0" xfId="0" applyBorder="1"/>
    <xf numFmtId="0" fontId="15" fillId="4" borderId="0" xfId="0" applyFont="1" applyFill="1" applyAlignment="1">
      <alignment vertical="center"/>
    </xf>
    <xf numFmtId="166" fontId="0" fillId="0" borderId="0" xfId="2" applyNumberFormat="1" applyFont="1" applyAlignment="1">
      <alignment horizontal="center" vertical="center" wrapText="1"/>
    </xf>
    <xf numFmtId="1" fontId="0" fillId="0" borderId="0" xfId="2" applyNumberFormat="1" applyFont="1" applyAlignment="1">
      <alignment horizontal="center" vertical="center" wrapText="1"/>
    </xf>
    <xf numFmtId="44" fontId="0" fillId="0" borderId="0" xfId="0" applyNumberFormat="1"/>
    <xf numFmtId="0" fontId="0" fillId="0" borderId="0" xfId="0" applyNumberFormat="1"/>
    <xf numFmtId="0" fontId="0" fillId="0" borderId="0" xfId="0" pivotButton="1"/>
    <xf numFmtId="0" fontId="26" fillId="7" borderId="0" xfId="0" applyFont="1" applyFill="1"/>
    <xf numFmtId="0" fontId="12" fillId="13" borderId="0" xfId="0" applyFont="1" applyFill="1"/>
    <xf numFmtId="170" fontId="3" fillId="0" borderId="0" xfId="2" applyNumberFormat="1" applyFont="1" applyAlignment="1">
      <alignment horizontal="left" vertical="center" wrapText="1"/>
    </xf>
    <xf numFmtId="170" fontId="0" fillId="0" borderId="0" xfId="2" applyNumberFormat="1" applyFont="1" applyAlignment="1">
      <alignment horizontal="left" vertical="center" wrapText="1"/>
    </xf>
    <xf numFmtId="170" fontId="0" fillId="0" borderId="0" xfId="2" applyNumberFormat="1" applyFont="1" applyAlignment="1">
      <alignment horizontal="left"/>
    </xf>
    <xf numFmtId="170" fontId="3" fillId="0" borderId="0" xfId="0" applyNumberFormat="1" applyFont="1" applyAlignment="1">
      <alignment horizontal="left" vertical="center" wrapText="1"/>
    </xf>
    <xf numFmtId="170" fontId="0" fillId="0" borderId="0" xfId="0" applyNumberFormat="1" applyAlignment="1">
      <alignment horizontal="left"/>
    </xf>
    <xf numFmtId="0" fontId="20" fillId="4" borderId="0" xfId="0" applyFont="1" applyFill="1" applyBorder="1"/>
    <xf numFmtId="0" fontId="27" fillId="7" borderId="0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vertical="center"/>
    </xf>
    <xf numFmtId="0" fontId="14" fillId="16" borderId="0" xfId="0" applyFont="1" applyFill="1" applyBorder="1" applyAlignment="1">
      <alignment vertical="center"/>
    </xf>
    <xf numFmtId="0" fontId="23" fillId="16" borderId="0" xfId="0" applyFont="1" applyFill="1" applyBorder="1" applyAlignment="1">
      <alignment vertical="center"/>
    </xf>
    <xf numFmtId="0" fontId="0" fillId="16" borderId="0" xfId="0" applyFill="1" applyBorder="1"/>
    <xf numFmtId="0" fontId="0" fillId="7" borderId="17" xfId="0" applyFill="1" applyBorder="1"/>
    <xf numFmtId="0" fontId="17" fillId="7" borderId="18" xfId="0" applyFont="1" applyFill="1" applyBorder="1" applyAlignment="1">
      <alignment vertical="center"/>
    </xf>
    <xf numFmtId="0" fontId="20" fillId="7" borderId="17" xfId="0" applyFont="1" applyFill="1" applyBorder="1"/>
    <xf numFmtId="0" fontId="20" fillId="7" borderId="18" xfId="0" applyFont="1" applyFill="1" applyBorder="1"/>
    <xf numFmtId="0" fontId="20" fillId="7" borderId="19" xfId="0" applyFont="1" applyFill="1" applyBorder="1"/>
    <xf numFmtId="0" fontId="20" fillId="7" borderId="13" xfId="0" applyFont="1" applyFill="1" applyBorder="1"/>
    <xf numFmtId="0" fontId="20" fillId="7" borderId="20" xfId="0" applyFont="1" applyFill="1" applyBorder="1"/>
    <xf numFmtId="0" fontId="20" fillId="7" borderId="21" xfId="0" applyFont="1" applyFill="1" applyBorder="1"/>
    <xf numFmtId="0" fontId="29" fillId="4" borderId="14" xfId="0" applyFont="1" applyFill="1" applyBorder="1" applyAlignment="1">
      <alignment horizontal="center" vertical="center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vertical="center"/>
    </xf>
    <xf numFmtId="0" fontId="0" fillId="4" borderId="14" xfId="0" applyFill="1" applyBorder="1"/>
    <xf numFmtId="0" fontId="0" fillId="4" borderId="15" xfId="0" applyFill="1" applyBorder="1"/>
    <xf numFmtId="0" fontId="20" fillId="4" borderId="17" xfId="0" applyFont="1" applyFill="1" applyBorder="1"/>
    <xf numFmtId="0" fontId="0" fillId="4" borderId="16" xfId="0" applyFill="1" applyBorder="1"/>
    <xf numFmtId="0" fontId="20" fillId="4" borderId="18" xfId="0" applyFont="1" applyFill="1" applyBorder="1"/>
    <xf numFmtId="0" fontId="17" fillId="4" borderId="17" xfId="0" applyFont="1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17" fillId="4" borderId="18" xfId="0" applyFont="1" applyFill="1" applyBorder="1" applyAlignment="1">
      <alignment vertical="center"/>
    </xf>
    <xf numFmtId="0" fontId="28" fillId="4" borderId="0" xfId="0" applyFont="1" applyFill="1" applyBorder="1" applyAlignment="1">
      <alignment horizontal="center" vertical="center"/>
    </xf>
    <xf numFmtId="0" fontId="30" fillId="4" borderId="22" xfId="0" applyFont="1" applyFill="1" applyBorder="1" applyAlignment="1">
      <alignment horizontal="center" vertical="center"/>
    </xf>
    <xf numFmtId="0" fontId="30" fillId="4" borderId="23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0" fontId="30" fillId="4" borderId="26" xfId="0" applyFont="1" applyFill="1" applyBorder="1" applyAlignment="1">
      <alignment horizontal="center" vertical="center"/>
    </xf>
    <xf numFmtId="0" fontId="30" fillId="4" borderId="27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/>
    </xf>
    <xf numFmtId="0" fontId="28" fillId="4" borderId="26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 wrapText="1"/>
    </xf>
    <xf numFmtId="0" fontId="31" fillId="4" borderId="26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center" vertical="center" wrapText="1"/>
    </xf>
    <xf numFmtId="0" fontId="31" fillId="4" borderId="3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0" fillId="12" borderId="0" xfId="0" applyFont="1" applyFill="1" applyAlignment="1">
      <alignment vertical="center"/>
    </xf>
    <xf numFmtId="0" fontId="20" fillId="8" borderId="0" xfId="0" applyFont="1" applyFill="1" applyAlignment="1">
      <alignment vertical="center"/>
    </xf>
    <xf numFmtId="0" fontId="15" fillId="13" borderId="0" xfId="0" applyFont="1" applyFill="1" applyAlignment="1">
      <alignment horizontal="left"/>
    </xf>
    <xf numFmtId="0" fontId="32" fillId="0" borderId="0" xfId="0" applyFont="1"/>
    <xf numFmtId="0" fontId="11" fillId="8" borderId="31" xfId="0" applyFont="1" applyFill="1" applyBorder="1"/>
    <xf numFmtId="0" fontId="11" fillId="8" borderId="2" xfId="0" applyFont="1" applyFill="1" applyBorder="1"/>
    <xf numFmtId="0" fontId="11" fillId="8" borderId="32" xfId="0" applyFont="1" applyFill="1" applyBorder="1"/>
    <xf numFmtId="0" fontId="11" fillId="8" borderId="4" xfId="0" applyFont="1" applyFill="1" applyBorder="1"/>
    <xf numFmtId="0" fontId="11" fillId="8" borderId="0" xfId="0" applyFont="1" applyFill="1" applyBorder="1"/>
    <xf numFmtId="0" fontId="11" fillId="8" borderId="7" xfId="0" applyFont="1" applyFill="1" applyBorder="1"/>
    <xf numFmtId="0" fontId="33" fillId="14" borderId="4" xfId="0" applyFont="1" applyFill="1" applyBorder="1" applyAlignment="1">
      <alignment vertical="top" wrapText="1"/>
    </xf>
    <xf numFmtId="0" fontId="33" fillId="14" borderId="0" xfId="0" applyFont="1" applyFill="1" applyBorder="1" applyAlignment="1">
      <alignment vertical="top" wrapText="1"/>
    </xf>
    <xf numFmtId="0" fontId="33" fillId="14" borderId="7" xfId="0" applyFont="1" applyFill="1" applyBorder="1" applyAlignment="1">
      <alignment vertical="top" wrapText="1"/>
    </xf>
    <xf numFmtId="0" fontId="33" fillId="14" borderId="5" xfId="0" applyFont="1" applyFill="1" applyBorder="1" applyAlignment="1">
      <alignment vertical="top" wrapText="1"/>
    </xf>
    <xf numFmtId="0" fontId="33" fillId="14" borderId="3" xfId="0" applyFont="1" applyFill="1" applyBorder="1" applyAlignment="1">
      <alignment vertical="top" wrapText="1"/>
    </xf>
    <xf numFmtId="0" fontId="33" fillId="14" borderId="8" xfId="0" applyFont="1" applyFill="1" applyBorder="1" applyAlignment="1">
      <alignment vertical="top" wrapText="1"/>
    </xf>
    <xf numFmtId="0" fontId="34" fillId="14" borderId="0" xfId="0" applyFont="1" applyFill="1" applyBorder="1"/>
    <xf numFmtId="0" fontId="34" fillId="14" borderId="10" xfId="0" applyFont="1" applyFill="1" applyBorder="1"/>
    <xf numFmtId="0" fontId="34" fillId="14" borderId="33" xfId="0" applyFont="1" applyFill="1" applyBorder="1"/>
    <xf numFmtId="0" fontId="35" fillId="3" borderId="0" xfId="0" applyFont="1" applyFill="1" applyBorder="1"/>
    <xf numFmtId="0" fontId="33" fillId="14" borderId="0" xfId="0" applyFont="1" applyFill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numFmt numFmtId="170" formatCode="&quot;R$&quot;\ #,##0.00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&quot;R$&quot;\ #,##0.00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6" formatCode="m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C848"/>
      <color rgb="FF22C55E"/>
      <color rgb="FFE8E6E9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Engine'!$B$20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R$&quot;\ 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B5-4BFD-8246-90A04EFBF48A}"/>
                </c:ext>
              </c:extLst>
            </c:dLbl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Engine'!$A$21</c:f>
              <c:strCache>
                <c:ptCount val="1"/>
                <c:pt idx="0">
                  <c:v>Planos anuais</c:v>
                </c:pt>
              </c:strCache>
            </c:strRef>
          </c:cat>
          <c:val>
            <c:numRef>
              <c:f>'Dashboard Engine'!$B$21</c:f>
              <c:numCache>
                <c:formatCode>[$R$-416]\ #,##0.00</c:formatCode>
                <c:ptCount val="1"/>
                <c:pt idx="0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5-4BFD-8246-90A04EFBF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939760"/>
        <c:axId val="1043149264"/>
      </c:barChart>
      <c:catAx>
        <c:axId val="113193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49264"/>
        <c:crosses val="autoZero"/>
        <c:auto val="1"/>
        <c:lblAlgn val="ctr"/>
        <c:lblOffset val="100"/>
        <c:noMultiLvlLbl val="0"/>
      </c:catAx>
      <c:valAx>
        <c:axId val="104314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93976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Engine'!$S$20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B4-4320-BF27-5307F9CB5F5A}"/>
              </c:ext>
            </c:extLst>
          </c:dPt>
          <c:dPt>
            <c:idx val="1"/>
            <c:bubble3D val="0"/>
            <c:spPr>
              <a:solidFill>
                <a:srgbClr val="E8E6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0B4-4320-BF27-5307F9CB5F5A}"/>
              </c:ext>
            </c:extLst>
          </c:dPt>
          <c:dLbls>
            <c:dLbl>
              <c:idx val="0"/>
              <c:layout>
                <c:manualLayout>
                  <c:x val="-2.4738974598722146E-3"/>
                  <c:y val="0.12139395782643958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1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580606202275207"/>
                      <c:h val="7.39766539219093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0B4-4320-BF27-5307F9CB5F5A}"/>
                </c:ext>
              </c:extLst>
            </c:dLbl>
            <c:dLbl>
              <c:idx val="1"/>
              <c:layout>
                <c:manualLayout>
                  <c:x val="-4.9477949197444292E-3"/>
                  <c:y val="-0.117715212605723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B4-4320-BF27-5307F9CB5F5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1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Engine'!$R$21:$R$22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'Dashboard Engine'!$S$21:$S$22</c:f>
              <c:numCache>
                <c:formatCode>General</c:formatCode>
                <c:ptCount val="2"/>
                <c:pt idx="0">
                  <c:v>425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4-4320-BF27-5307F9CB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34626772635192"/>
          <c:y val="0.59213474684277601"/>
          <c:w val="0.12690945435843692"/>
          <c:h val="6.276952816097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EA Play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Engine'!$E$20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39EF5A-7298-4A78-89C6-ECE8E7A2D363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5B4-440D-A08A-53F5180147FA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1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Engine'!$D$21</c:f>
              <c:strCache>
                <c:ptCount val="1"/>
                <c:pt idx="0">
                  <c:v>EA Play</c:v>
                </c:pt>
              </c:strCache>
            </c:strRef>
          </c:cat>
          <c:val>
            <c:numRef>
              <c:f>'Dashboard Engine'!$E$21</c:f>
              <c:numCache>
                <c:formatCode>[$R$-416]\ #,##0.00</c:formatCode>
                <c:ptCount val="1"/>
                <c:pt idx="0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440D-A08A-53F518014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864592"/>
        <c:axId val="1043102224"/>
      </c:barChart>
      <c:catAx>
        <c:axId val="1131864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102224"/>
        <c:crosses val="autoZero"/>
        <c:auto val="1"/>
        <c:lblAlgn val="ctr"/>
        <c:lblOffset val="100"/>
        <c:noMultiLvlLbl val="0"/>
      </c:catAx>
      <c:valAx>
        <c:axId val="10431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86459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Minecraft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Engine'!$E$24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Engine'!$D$25</c:f>
              <c:strCache>
                <c:ptCount val="1"/>
                <c:pt idx="0">
                  <c:v>Minecraft</c:v>
                </c:pt>
              </c:strCache>
            </c:strRef>
          </c:cat>
          <c:val>
            <c:numRef>
              <c:f>'Dashboard Engine'!$E$25</c:f>
              <c:numCache>
                <c:formatCode>[$R$-416]\ #,##0.00</c:formatCode>
                <c:ptCount val="1"/>
                <c:pt idx="0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3-40CF-A3AC-66F29DA15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859488"/>
        <c:axId val="1043141584"/>
      </c:barChart>
      <c:catAx>
        <c:axId val="113185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41584"/>
        <c:crosses val="autoZero"/>
        <c:auto val="1"/>
        <c:lblAlgn val="ctr"/>
        <c:lblOffset val="100"/>
        <c:noMultiLvlLbl val="0"/>
      </c:catAx>
      <c:valAx>
        <c:axId val="104314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85948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Engine'!$H$20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R$&quot;\ 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1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42-448D-AF46-E7B3F83FC51A}"/>
                </c:ext>
              </c:extLst>
            </c:dLbl>
            <c:dLbl>
              <c:idx val="1"/>
              <c:numFmt formatCode="&quot;R$&quot;\ 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1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E42-448D-AF46-E7B3F83FC51A}"/>
                </c:ext>
              </c:extLst>
            </c:dLbl>
            <c:dLbl>
              <c:idx val="2"/>
              <c:numFmt formatCode="&quot;R$&quot;\ 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1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E42-448D-AF46-E7B3F83FC51A}"/>
                </c:ext>
              </c:extLst>
            </c:dLbl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1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Engine'!$G$21:$G$23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Engine'!$H$21:$H$23</c:f>
              <c:numCache>
                <c:formatCode>[$R$-416]\ #,##0.00</c:formatCode>
                <c:ptCount val="3"/>
                <c:pt idx="0">
                  <c:v>189</c:v>
                </c:pt>
                <c:pt idx="1">
                  <c:v>783</c:v>
                </c:pt>
                <c:pt idx="2">
                  <c:v>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2-448D-AF46-E7B3F83FC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31814944"/>
        <c:axId val="1043112784"/>
      </c:barChart>
      <c:catAx>
        <c:axId val="11318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2784"/>
        <c:crosses val="autoZero"/>
        <c:auto val="1"/>
        <c:lblAlgn val="ctr"/>
        <c:lblOffset val="100"/>
        <c:noMultiLvlLbl val="0"/>
      </c:catAx>
      <c:valAx>
        <c:axId val="1043112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0" sourceLinked="0"/>
        <c:majorTickMark val="none"/>
        <c:minorTickMark val="none"/>
        <c:tickLblPos val="nextTo"/>
        <c:crossAx val="113181494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'Dashboard Engine'!$K$20</c:f>
              <c:strCache>
                <c:ptCount val="1"/>
                <c:pt idx="0">
                  <c:v>Faturamento</c:v>
                </c:pt>
              </c:strCache>
            </c:strRef>
          </c:tx>
          <c:spPr>
            <a:ln w="31750" cap="rnd">
              <a:solidFill>
                <a:srgbClr val="107C1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 Engine'!$J$21:$J$32</c:f>
              <c:numCache>
                <c:formatCode>mmm/yyyy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'Dashboard Engine'!$K$21:$K$32</c:f>
              <c:numCache>
                <c:formatCode>[$R$-416]\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B-4894-8F01-828A2B29A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749520"/>
        <c:axId val="1043147824"/>
      </c:lineChart>
      <c:dateAx>
        <c:axId val="113174952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47824"/>
        <c:crosses val="autoZero"/>
        <c:auto val="0"/>
        <c:lblOffset val="100"/>
        <c:baseTimeUnit val="months"/>
      </c:dateAx>
      <c:valAx>
        <c:axId val="10431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74952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Engine'!$N$20</c:f>
              <c:strCache>
                <c:ptCount val="1"/>
                <c:pt idx="0">
                  <c:v>Cupons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cat>
            <c:strRef>
              <c:f>'Dashboard Engine'!$M$21:$M$23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Engine'!$N$21:$N$23</c:f>
              <c:numCache>
                <c:formatCode>[$R$-416]\ #,##0.00</c:formatCode>
                <c:ptCount val="3"/>
                <c:pt idx="0">
                  <c:v>26</c:v>
                </c:pt>
                <c:pt idx="1">
                  <c:v>447</c:v>
                </c:pt>
                <c:pt idx="2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4536-B94B-20833F84714B}"/>
            </c:ext>
          </c:extLst>
        </c:ser>
        <c:ser>
          <c:idx val="1"/>
          <c:order val="1"/>
          <c:tx>
            <c:strRef>
              <c:f>'Dashboard Engine'!$O$20</c:f>
              <c:strCache>
                <c:ptCount val="1"/>
                <c:pt idx="0">
                  <c:v>Líquido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'Dashboard Engine'!$M$21:$M$23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Engine'!$O$21:$O$23</c:f>
              <c:numCache>
                <c:formatCode>[$R$-416]\ #,##0.00</c:formatCode>
                <c:ptCount val="3"/>
                <c:pt idx="0">
                  <c:v>189</c:v>
                </c:pt>
                <c:pt idx="1">
                  <c:v>783</c:v>
                </c:pt>
                <c:pt idx="2">
                  <c:v>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6-4536-B94B-20833F84714B}"/>
            </c:ext>
          </c:extLst>
        </c:ser>
        <c:ser>
          <c:idx val="2"/>
          <c:order val="2"/>
          <c:tx>
            <c:strRef>
              <c:f>'Dashboard Engine'!$P$20</c:f>
              <c:strCache>
                <c:ptCount val="1"/>
                <c:pt idx="0">
                  <c:v>Bruto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cat>
            <c:strRef>
              <c:f>'Dashboard Engine'!$M$21:$M$23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Engine'!$P$21:$P$23</c:f>
              <c:numCache>
                <c:formatCode>[$R$-416]\ #,##0.00</c:formatCode>
                <c:ptCount val="3"/>
                <c:pt idx="0">
                  <c:v>215</c:v>
                </c:pt>
                <c:pt idx="1">
                  <c:v>1230</c:v>
                </c:pt>
                <c:pt idx="2">
                  <c:v>2730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6-4536-B94B-20833F847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907280"/>
        <c:axId val="1043126704"/>
      </c:barChart>
      <c:catAx>
        <c:axId val="11319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26704"/>
        <c:crosses val="autoZero"/>
        <c:auto val="1"/>
        <c:lblAlgn val="ctr"/>
        <c:lblOffset val="100"/>
        <c:noMultiLvlLbl val="0"/>
      </c:catAx>
      <c:valAx>
        <c:axId val="10431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9072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6.png"/><Relationship Id="rId3" Type="http://schemas.openxmlformats.org/officeDocument/2006/relationships/image" Target="../media/image9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1.png"/><Relationship Id="rId10" Type="http://schemas.openxmlformats.org/officeDocument/2006/relationships/chart" Target="../charts/chart5.xml"/><Relationship Id="rId4" Type="http://schemas.openxmlformats.org/officeDocument/2006/relationships/image" Target="../media/image10.sv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521494</xdr:colOff>
      <xdr:row>37</xdr:row>
      <xdr:rowOff>73819</xdr:rowOff>
    </xdr:from>
    <xdr:to>
      <xdr:col>11</xdr:col>
      <xdr:colOff>516731</xdr:colOff>
      <xdr:row>39</xdr:row>
      <xdr:rowOff>78582</xdr:rowOff>
    </xdr:to>
    <xdr:pic>
      <xdr:nvPicPr>
        <xdr:cNvPr id="39" name="EA Brand">
          <a:extLst>
            <a:ext uri="{FF2B5EF4-FFF2-40B4-BE49-F238E27FC236}">
              <a16:creationId xmlns:a16="http://schemas.microsoft.com/office/drawing/2014/main" id="{592B971F-F3F0-49D0-83E5-BC718B84F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7086600"/>
          <a:ext cx="1066800" cy="457200"/>
        </a:xfrm>
        <a:prstGeom prst="rect">
          <a:avLst/>
        </a:prstGeom>
      </xdr:spPr>
    </xdr:pic>
    <xdr:clientData/>
  </xdr:twoCellAnchor>
  <xdr:twoCellAnchor editAs="absolute">
    <xdr:from>
      <xdr:col>19</xdr:col>
      <xdr:colOff>278267</xdr:colOff>
      <xdr:row>34</xdr:row>
      <xdr:rowOff>85989</xdr:rowOff>
    </xdr:from>
    <xdr:to>
      <xdr:col>21</xdr:col>
      <xdr:colOff>369093</xdr:colOff>
      <xdr:row>36</xdr:row>
      <xdr:rowOff>107157</xdr:rowOff>
    </xdr:to>
    <xdr:grpSp>
      <xdr:nvGrpSpPr>
        <xdr:cNvPr id="40" name="Minecraft Brand">
          <a:extLst>
            <a:ext uri="{FF2B5EF4-FFF2-40B4-BE49-F238E27FC236}">
              <a16:creationId xmlns:a16="http://schemas.microsoft.com/office/drawing/2014/main" id="{C3B7844B-3A02-4A95-A7DF-3A33817784DF}"/>
            </a:ext>
          </a:extLst>
        </xdr:cNvPr>
        <xdr:cNvGrpSpPr/>
      </xdr:nvGrpSpPr>
      <xdr:grpSpPr>
        <a:xfrm>
          <a:off x="9898517" y="7729802"/>
          <a:ext cx="1162389" cy="509324"/>
          <a:chOff x="3495675" y="5400674"/>
          <a:chExt cx="1549476" cy="752476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E8C76D5F-9555-2ADD-4D50-657E1EE7BE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42" name="Gráfico 41">
            <a:extLst>
              <a:ext uri="{FF2B5EF4-FFF2-40B4-BE49-F238E27FC236}">
                <a16:creationId xmlns:a16="http://schemas.microsoft.com/office/drawing/2014/main" id="{59A01349-12A7-34CF-DE0D-D2A913E087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176213</xdr:colOff>
      <xdr:row>0</xdr:row>
      <xdr:rowOff>19051</xdr:rowOff>
    </xdr:from>
    <xdr:to>
      <xdr:col>6</xdr:col>
      <xdr:colOff>319088</xdr:colOff>
      <xdr:row>2</xdr:row>
      <xdr:rowOff>173831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C1A69EA-36F0-4EA6-89D5-EC3A6D44B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2612" t="-5092" r="67616" b="-144"/>
        <a:stretch>
          <a:fillRect/>
        </a:stretch>
      </xdr:blipFill>
      <xdr:spPr>
        <a:xfrm>
          <a:off x="3643313" y="209551"/>
          <a:ext cx="800100" cy="735805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130965</xdr:colOff>
      <xdr:row>5</xdr:row>
      <xdr:rowOff>75528</xdr:rowOff>
    </xdr:from>
    <xdr:to>
      <xdr:col>25</xdr:col>
      <xdr:colOff>18354</xdr:colOff>
      <xdr:row>11</xdr:row>
      <xdr:rowOff>157169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E7376401-B0EB-18B1-A16B-70DAF86B4322}"/>
            </a:ext>
          </a:extLst>
        </xdr:cNvPr>
        <xdr:cNvGrpSpPr/>
      </xdr:nvGrpSpPr>
      <xdr:grpSpPr>
        <a:xfrm>
          <a:off x="2559840" y="1337591"/>
          <a:ext cx="10567295" cy="1438953"/>
          <a:chOff x="2559840" y="1682871"/>
          <a:chExt cx="10584305" cy="1438953"/>
        </a:xfrm>
      </xdr:grpSpPr>
      <xdr:grpSp>
        <xdr:nvGrpSpPr>
          <xdr:cNvPr id="56" name="Agrupar 55">
            <a:extLst>
              <a:ext uri="{FF2B5EF4-FFF2-40B4-BE49-F238E27FC236}">
                <a16:creationId xmlns:a16="http://schemas.microsoft.com/office/drawing/2014/main" id="{379CD960-799F-9866-0A37-A38778F70224}"/>
              </a:ext>
            </a:extLst>
          </xdr:cNvPr>
          <xdr:cNvGrpSpPr/>
        </xdr:nvGrpSpPr>
        <xdr:grpSpPr>
          <a:xfrm>
            <a:off x="2559840" y="1685587"/>
            <a:ext cx="2413795" cy="1436234"/>
            <a:chOff x="12108655" y="1921326"/>
            <a:chExt cx="2416970" cy="1436235"/>
          </a:xfrm>
        </xdr:grpSpPr>
        <xdr:sp macro="" textlink="">
          <xdr:nvSpPr>
            <xdr:cNvPr id="48" name="Retângulo: Cantos Arredondados 47">
              <a:extLst>
                <a:ext uri="{FF2B5EF4-FFF2-40B4-BE49-F238E27FC236}">
                  <a16:creationId xmlns:a16="http://schemas.microsoft.com/office/drawing/2014/main" id="{00A6CE4E-E395-56E0-5F49-DAE8A83E54FF}"/>
                </a:ext>
              </a:extLst>
            </xdr:cNvPr>
            <xdr:cNvSpPr/>
          </xdr:nvSpPr>
          <xdr:spPr>
            <a:xfrm>
              <a:off x="12120563" y="1921326"/>
              <a:ext cx="2393157" cy="1436235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'Dashboard Engine'!E2">
          <xdr:nvSpPr>
            <xdr:cNvPr id="49" name="Retângulo: Cantos Arredondados 48">
              <a:extLst>
                <a:ext uri="{FF2B5EF4-FFF2-40B4-BE49-F238E27FC236}">
                  <a16:creationId xmlns:a16="http://schemas.microsoft.com/office/drawing/2014/main" id="{406E385E-4023-47CF-E966-AE83310AD5AE}"/>
                </a:ext>
              </a:extLst>
            </xdr:cNvPr>
            <xdr:cNvSpPr/>
          </xdr:nvSpPr>
          <xdr:spPr>
            <a:xfrm>
              <a:off x="12609791" y="2475641"/>
              <a:ext cx="1401046" cy="407800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8485DE9-505A-4284-943F-4328E8281906}" type="TxLink">
                <a:rPr lang="en-US" sz="2000" b="1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R$ 3.277,00</a:t>
              </a:fld>
              <a:endParaRPr lang="pt-BR" sz="2000" b="1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51" name="Retângulo: Cantos Superiores Arredondados 50">
              <a:extLst>
                <a:ext uri="{FF2B5EF4-FFF2-40B4-BE49-F238E27FC236}">
                  <a16:creationId xmlns:a16="http://schemas.microsoft.com/office/drawing/2014/main" id="{98351D17-E975-3A03-1B9E-EF3336090F18}"/>
                </a:ext>
              </a:extLst>
            </xdr:cNvPr>
            <xdr:cNvSpPr/>
          </xdr:nvSpPr>
          <xdr:spPr>
            <a:xfrm>
              <a:off x="12108655" y="1928814"/>
              <a:ext cx="2416970" cy="39290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RECEITA TOTAL</a:t>
              </a:r>
            </a:p>
          </xdr:txBody>
        </xdr:sp>
        <xdr:sp macro="" textlink="C̳álculos!C76">
          <xdr:nvSpPr>
            <xdr:cNvPr id="53" name="CaixaDeTexto 52">
              <a:extLst>
                <a:ext uri="{FF2B5EF4-FFF2-40B4-BE49-F238E27FC236}">
                  <a16:creationId xmlns:a16="http://schemas.microsoft.com/office/drawing/2014/main" id="{93DF9B80-525C-538D-7E2C-8BB281D38995}"/>
                </a:ext>
              </a:extLst>
            </xdr:cNvPr>
            <xdr:cNvSpPr txBox="1"/>
          </xdr:nvSpPr>
          <xdr:spPr>
            <a:xfrm>
              <a:off x="12319721" y="2961409"/>
              <a:ext cx="2001333" cy="360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E28080E-7BFA-4CB5-92FC-65C16CC633C6}" type="TxLink">
                <a:rPr lang="en-US" sz="1200" b="1" i="0" u="none" strike="noStrike">
                  <a:solidFill>
                    <a:srgbClr val="9BC848"/>
                  </a:solidFill>
                  <a:latin typeface="Aptos Narrow"/>
                </a:rPr>
                <a:pPr algn="ctr"/>
                <a:t>Sem comparação</a:t>
              </a:fld>
              <a:endParaRPr lang="pt-BR" sz="1200" b="1">
                <a:solidFill>
                  <a:srgbClr val="9BC848"/>
                </a:solidFill>
              </a:endParaRPr>
            </a:p>
          </xdr:txBody>
        </xdr:sp>
      </xdr:grpSp>
      <xdr:grpSp>
        <xdr:nvGrpSpPr>
          <xdr:cNvPr id="67" name="Agrupar 66">
            <a:extLst>
              <a:ext uri="{FF2B5EF4-FFF2-40B4-BE49-F238E27FC236}">
                <a16:creationId xmlns:a16="http://schemas.microsoft.com/office/drawing/2014/main" id="{8A963593-3F8E-CFAD-10F8-1D855E03172C}"/>
              </a:ext>
            </a:extLst>
          </xdr:cNvPr>
          <xdr:cNvGrpSpPr/>
        </xdr:nvGrpSpPr>
        <xdr:grpSpPr>
          <a:xfrm>
            <a:off x="5286358" y="1685590"/>
            <a:ext cx="2416970" cy="1436234"/>
            <a:chOff x="5700712" y="537820"/>
            <a:chExt cx="2416970" cy="1436234"/>
          </a:xfrm>
        </xdr:grpSpPr>
        <xdr:sp macro="" textlink="">
          <xdr:nvSpPr>
            <xdr:cNvPr id="63" name="Retângulo: Cantos Arredondados 62">
              <a:extLst>
                <a:ext uri="{FF2B5EF4-FFF2-40B4-BE49-F238E27FC236}">
                  <a16:creationId xmlns:a16="http://schemas.microsoft.com/office/drawing/2014/main" id="{CA415997-9F6E-65EA-645D-6AF956C581BA}"/>
                </a:ext>
              </a:extLst>
            </xdr:cNvPr>
            <xdr:cNvSpPr/>
          </xdr:nvSpPr>
          <xdr:spPr>
            <a:xfrm>
              <a:off x="5712620" y="537820"/>
              <a:ext cx="2393157" cy="143623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'Dashboard Engine'!E3">
          <xdr:nvSpPr>
            <xdr:cNvPr id="64" name="Retângulo: Cantos Arredondados 63">
              <a:extLst>
                <a:ext uri="{FF2B5EF4-FFF2-40B4-BE49-F238E27FC236}">
                  <a16:creationId xmlns:a16="http://schemas.microsoft.com/office/drawing/2014/main" id="{77F15B8A-5A6B-0FDB-6648-251F8946A30E}"/>
                </a:ext>
              </a:extLst>
            </xdr:cNvPr>
            <xdr:cNvSpPr/>
          </xdr:nvSpPr>
          <xdr:spPr>
            <a:xfrm>
              <a:off x="6201848" y="1092135"/>
              <a:ext cx="1401046" cy="407800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DDA866F8-7E6A-4E0E-9F41-D9244B1D0331}" type="TxLink">
                <a:rPr lang="en-US" sz="2000" b="1" i="0" u="none" strike="noStrike" kern="1200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126</a:t>
              </a:fld>
              <a:endParaRPr lang="pt-BR" sz="2000" b="1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65" name="Retângulo: Cantos Superiores Arredondados 64">
              <a:extLst>
                <a:ext uri="{FF2B5EF4-FFF2-40B4-BE49-F238E27FC236}">
                  <a16:creationId xmlns:a16="http://schemas.microsoft.com/office/drawing/2014/main" id="{9EFFCD80-9254-0EC7-AD24-E7949E7109D1}"/>
                </a:ext>
              </a:extLst>
            </xdr:cNvPr>
            <xdr:cNvSpPr/>
          </xdr:nvSpPr>
          <xdr:spPr>
            <a:xfrm>
              <a:off x="5700712" y="545308"/>
              <a:ext cx="2416970" cy="39290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ASSINANTES</a:t>
              </a:r>
            </a:p>
          </xdr:txBody>
        </xdr:sp>
        <xdr:sp macro="" textlink="C̳álculos!C78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9820E06F-83B9-C2E4-B237-A129C04FF40E}"/>
                </a:ext>
              </a:extLst>
            </xdr:cNvPr>
            <xdr:cNvSpPr txBox="1"/>
          </xdr:nvSpPr>
          <xdr:spPr>
            <a:xfrm>
              <a:off x="5911778" y="1577902"/>
              <a:ext cx="2001333" cy="360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58C5839-328F-4F35-AC79-AD274DF1EDCF}" type="TxLink">
                <a:rPr lang="en-US" sz="1200" b="1" i="0" u="none" strike="noStrike">
                  <a:solidFill>
                    <a:srgbClr val="9BC848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Sem comparação</a:t>
              </a:fld>
              <a:endParaRPr lang="pt-BR" sz="1200" b="1" i="0" u="none" strike="noStrike">
                <a:solidFill>
                  <a:srgbClr val="9BC848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333B54B6-624B-2A03-F1EA-DD2BBB251E77}"/>
              </a:ext>
            </a:extLst>
          </xdr:cNvPr>
          <xdr:cNvGrpSpPr/>
        </xdr:nvGrpSpPr>
        <xdr:grpSpPr>
          <a:xfrm>
            <a:off x="8012889" y="1685590"/>
            <a:ext cx="2416970" cy="1436234"/>
            <a:chOff x="8079564" y="1487947"/>
            <a:chExt cx="2416970" cy="1436234"/>
          </a:xfrm>
        </xdr:grpSpPr>
        <xdr:sp macro="" textlink="">
          <xdr:nvSpPr>
            <xdr:cNvPr id="69" name="Retângulo: Cantos Arredondados 68">
              <a:extLst>
                <a:ext uri="{FF2B5EF4-FFF2-40B4-BE49-F238E27FC236}">
                  <a16:creationId xmlns:a16="http://schemas.microsoft.com/office/drawing/2014/main" id="{97F6E3C7-D148-6E59-2D5B-12F74AAA6036}"/>
                </a:ext>
              </a:extLst>
            </xdr:cNvPr>
            <xdr:cNvSpPr/>
          </xdr:nvSpPr>
          <xdr:spPr>
            <a:xfrm>
              <a:off x="8091472" y="1487947"/>
              <a:ext cx="2393157" cy="143623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'Dashboard Engine'!E4">
          <xdr:nvSpPr>
            <xdr:cNvPr id="70" name="Retângulo: Cantos Arredondados 69">
              <a:extLst>
                <a:ext uri="{FF2B5EF4-FFF2-40B4-BE49-F238E27FC236}">
                  <a16:creationId xmlns:a16="http://schemas.microsoft.com/office/drawing/2014/main" id="{F2A5F42C-6CBD-F6C2-E52D-2715A4A913A6}"/>
                </a:ext>
              </a:extLst>
            </xdr:cNvPr>
            <xdr:cNvSpPr/>
          </xdr:nvSpPr>
          <xdr:spPr>
            <a:xfrm>
              <a:off x="8580700" y="2042262"/>
              <a:ext cx="1401046" cy="407800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B66E71D8-0455-4EDB-AFCB-00688D5A69FF}" type="TxLink">
                <a:rPr lang="en-US" sz="2000" b="1" i="0" u="none" strike="noStrike" kern="1200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R$ 898,00</a:t>
              </a:fld>
              <a:endParaRPr lang="pt-BR" sz="2000" b="1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71" name="Retângulo: Cantos Superiores Arredondados 70">
              <a:extLst>
                <a:ext uri="{FF2B5EF4-FFF2-40B4-BE49-F238E27FC236}">
                  <a16:creationId xmlns:a16="http://schemas.microsoft.com/office/drawing/2014/main" id="{4218D77E-6D0B-479C-1B99-1A313B89E4B0}"/>
                </a:ext>
              </a:extLst>
            </xdr:cNvPr>
            <xdr:cNvSpPr/>
          </xdr:nvSpPr>
          <xdr:spPr>
            <a:xfrm>
              <a:off x="8079564" y="1495435"/>
              <a:ext cx="2416970" cy="39290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CUPONS</a:t>
              </a:r>
            </a:p>
          </xdr:txBody>
        </xdr:sp>
        <xdr:sp macro="" textlink="C̳álculos!C80">
          <xdr:nvSpPr>
            <xdr:cNvPr id="72" name="CaixaDeTexto 71">
              <a:extLst>
                <a:ext uri="{FF2B5EF4-FFF2-40B4-BE49-F238E27FC236}">
                  <a16:creationId xmlns:a16="http://schemas.microsoft.com/office/drawing/2014/main" id="{E8E63108-A46B-B9B1-9CB8-309CC017BE69}"/>
                </a:ext>
              </a:extLst>
            </xdr:cNvPr>
            <xdr:cNvSpPr txBox="1"/>
          </xdr:nvSpPr>
          <xdr:spPr>
            <a:xfrm>
              <a:off x="8290630" y="2528029"/>
              <a:ext cx="2001333" cy="360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137A99E8-00CB-477C-B8C2-BDF59F0FFAAE}" type="TxLink">
                <a:rPr lang="en-US" sz="1200" b="1" i="0" u="none" strike="noStrike">
                  <a:solidFill>
                    <a:srgbClr val="9BC848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Sem comparação</a:t>
              </a:fld>
              <a:endParaRPr lang="pt-BR" sz="1200" b="1" i="0" u="none" strike="noStrike">
                <a:solidFill>
                  <a:srgbClr val="9BC848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80" name="Agrupar 79">
            <a:extLst>
              <a:ext uri="{FF2B5EF4-FFF2-40B4-BE49-F238E27FC236}">
                <a16:creationId xmlns:a16="http://schemas.microsoft.com/office/drawing/2014/main" id="{ED549E03-4B66-B9AE-115F-A6EAC14DA8B9}"/>
              </a:ext>
            </a:extLst>
          </xdr:cNvPr>
          <xdr:cNvGrpSpPr/>
        </xdr:nvGrpSpPr>
        <xdr:grpSpPr>
          <a:xfrm>
            <a:off x="10727174" y="1682871"/>
            <a:ext cx="2416971" cy="1432151"/>
            <a:chOff x="7631889" y="92534"/>
            <a:chExt cx="2405064" cy="1450522"/>
          </a:xfrm>
        </xdr:grpSpPr>
        <xdr:sp macro="" textlink="">
          <xdr:nvSpPr>
            <xdr:cNvPr id="76" name="Retângulo: Cantos Arredondados 75">
              <a:extLst>
                <a:ext uri="{FF2B5EF4-FFF2-40B4-BE49-F238E27FC236}">
                  <a16:creationId xmlns:a16="http://schemas.microsoft.com/office/drawing/2014/main" id="{6BF046E3-A683-8538-78F1-E7B1AEBD1171}"/>
                </a:ext>
              </a:extLst>
            </xdr:cNvPr>
            <xdr:cNvSpPr/>
          </xdr:nvSpPr>
          <xdr:spPr>
            <a:xfrm>
              <a:off x="7643738" y="92534"/>
              <a:ext cx="2381368" cy="1450522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'Dashboard Engine'!E5">
          <xdr:nvSpPr>
            <xdr:cNvPr id="77" name="Retângulo: Cantos Arredondados 76">
              <a:extLst>
                <a:ext uri="{FF2B5EF4-FFF2-40B4-BE49-F238E27FC236}">
                  <a16:creationId xmlns:a16="http://schemas.microsoft.com/office/drawing/2014/main" id="{5196929C-20B5-1982-54C6-1B9C9F5877EF}"/>
                </a:ext>
              </a:extLst>
            </xdr:cNvPr>
            <xdr:cNvSpPr/>
          </xdr:nvSpPr>
          <xdr:spPr>
            <a:xfrm>
              <a:off x="8130556" y="652363"/>
              <a:ext cx="1394144" cy="411857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17DF52A6-ADF4-43F1-A519-180E3B775F53}" type="TxLink">
                <a:rPr lang="en-US" sz="2000" b="1" i="0" u="none" strike="noStrike" kern="1200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66,2%</a:t>
              </a:fld>
              <a:endParaRPr lang="pt-BR" sz="2000" b="1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78" name="Retângulo: Cantos Superiores Arredondados 77">
              <a:extLst>
                <a:ext uri="{FF2B5EF4-FFF2-40B4-BE49-F238E27FC236}">
                  <a16:creationId xmlns:a16="http://schemas.microsoft.com/office/drawing/2014/main" id="{107BB8A8-C638-27F0-DAF1-FE90BF194116}"/>
                </a:ext>
              </a:extLst>
            </xdr:cNvPr>
            <xdr:cNvSpPr/>
          </xdr:nvSpPr>
          <xdr:spPr>
            <a:xfrm>
              <a:off x="7631889" y="100096"/>
              <a:ext cx="2405064" cy="39681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RENOVAÇÃO ANUAL</a:t>
              </a:r>
            </a:p>
          </xdr:txBody>
        </xdr:sp>
        <xdr:sp macro="" textlink="C̳álculos!C82">
          <xdr:nvSpPr>
            <xdr:cNvPr id="79" name="CaixaDeTexto 78">
              <a:extLst>
                <a:ext uri="{FF2B5EF4-FFF2-40B4-BE49-F238E27FC236}">
                  <a16:creationId xmlns:a16="http://schemas.microsoft.com/office/drawing/2014/main" id="{C9383E49-ABC1-9BE1-D6CE-710261159AF3}"/>
                </a:ext>
              </a:extLst>
            </xdr:cNvPr>
            <xdr:cNvSpPr txBox="1"/>
          </xdr:nvSpPr>
          <xdr:spPr>
            <a:xfrm>
              <a:off x="7841915" y="1142963"/>
              <a:ext cx="1991474" cy="36358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19C42020-496E-4B1B-B3AA-E3B7016B3A92}" type="TxLink">
                <a:rPr lang="en-US" sz="1200" b="1" i="0" u="none" strike="noStrike">
                  <a:solidFill>
                    <a:srgbClr val="9BC848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Sem comparação</a:t>
              </a:fld>
              <a:endParaRPr lang="pt-BR" sz="1200" b="1" i="0" u="none" strike="noStrike">
                <a:solidFill>
                  <a:srgbClr val="9BC848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 editAs="oneCell">
    <xdr:from>
      <xdr:col>0</xdr:col>
      <xdr:colOff>19844</xdr:colOff>
      <xdr:row>25</xdr:row>
      <xdr:rowOff>95249</xdr:rowOff>
    </xdr:from>
    <xdr:to>
      <xdr:col>2</xdr:col>
      <xdr:colOff>642939</xdr:colOff>
      <xdr:row>31</xdr:row>
      <xdr:rowOff>134937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4" name="Segmentação Plano">
              <a:extLst>
                <a:ext uri="{FF2B5EF4-FFF2-40B4-BE49-F238E27FC236}">
                  <a16:creationId xmlns:a16="http://schemas.microsoft.com/office/drawing/2014/main" id="{E3A0CF8C-655B-0A0F-50EF-ABC3E01001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ção Pl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44" y="5703093"/>
              <a:ext cx="2206626" cy="139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32</xdr:row>
      <xdr:rowOff>119063</xdr:rowOff>
    </xdr:from>
    <xdr:to>
      <xdr:col>3</xdr:col>
      <xdr:colOff>11906</xdr:colOff>
      <xdr:row>37</xdr:row>
      <xdr:rowOff>11906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5" name="Segmentação Renovação">
              <a:extLst>
                <a:ext uri="{FF2B5EF4-FFF2-40B4-BE49-F238E27FC236}">
                  <a16:creationId xmlns:a16="http://schemas.microsoft.com/office/drawing/2014/main" id="{68F436B6-DEFE-274F-1735-FC40DD9A70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ção Renova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10438"/>
              <a:ext cx="2262187" cy="1059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37</xdr:row>
      <xdr:rowOff>202404</xdr:rowOff>
    </xdr:from>
    <xdr:to>
      <xdr:col>3</xdr:col>
      <xdr:colOff>0</xdr:colOff>
      <xdr:row>44</xdr:row>
      <xdr:rowOff>15873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6" name="Segmentação Periodicidade">
              <a:extLst>
                <a:ext uri="{FF2B5EF4-FFF2-40B4-BE49-F238E27FC236}">
                  <a16:creationId xmlns:a16="http://schemas.microsoft.com/office/drawing/2014/main" id="{E84515AA-4A5D-9DFB-6F8F-67E748DC22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ção Periodic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560592"/>
              <a:ext cx="2250281" cy="139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44</xdr:row>
      <xdr:rowOff>142875</xdr:rowOff>
    </xdr:from>
    <xdr:to>
      <xdr:col>3</xdr:col>
      <xdr:colOff>0</xdr:colOff>
      <xdr:row>50</xdr:row>
      <xdr:rowOff>182563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7" name="Segmentação EA">
              <a:extLst>
                <a:ext uri="{FF2B5EF4-FFF2-40B4-BE49-F238E27FC236}">
                  <a16:creationId xmlns:a16="http://schemas.microsoft.com/office/drawing/2014/main" id="{14B85CE0-80E3-AB5C-74D0-D364BBC69D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ção 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84594"/>
              <a:ext cx="2250281" cy="139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51</xdr:row>
      <xdr:rowOff>142875</xdr:rowOff>
    </xdr:from>
    <xdr:to>
      <xdr:col>3</xdr:col>
      <xdr:colOff>11907</xdr:colOff>
      <xdr:row>55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8" name="Segmentação Minecraft">
              <a:extLst>
                <a:ext uri="{FF2B5EF4-FFF2-40B4-BE49-F238E27FC236}">
                  <a16:creationId xmlns:a16="http://schemas.microsoft.com/office/drawing/2014/main" id="{CC42EAEF-EF83-6F44-97D4-F775124645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ção Minecraf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68125"/>
              <a:ext cx="2262188" cy="1059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136073</xdr:colOff>
      <xdr:row>16</xdr:row>
      <xdr:rowOff>1360</xdr:rowOff>
    </xdr:from>
    <xdr:to>
      <xdr:col>14</xdr:col>
      <xdr:colOff>526394</xdr:colOff>
      <xdr:row>31</xdr:row>
      <xdr:rowOff>23538</xdr:rowOff>
    </xdr:to>
    <xdr:graphicFrame macro="">
      <xdr:nvGraphicFramePr>
        <xdr:cNvPr id="89" name="Faturamento Anual">
          <a:extLst>
            <a:ext uri="{FF2B5EF4-FFF2-40B4-BE49-F238E27FC236}">
              <a16:creationId xmlns:a16="http://schemas.microsoft.com/office/drawing/2014/main" id="{5BE6705F-89F8-1038-16F2-6C002D9C9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259896</xdr:colOff>
      <xdr:row>16</xdr:row>
      <xdr:rowOff>26191</xdr:rowOff>
    </xdr:from>
    <xdr:to>
      <xdr:col>25</xdr:col>
      <xdr:colOff>30921</xdr:colOff>
      <xdr:row>31</xdr:row>
      <xdr:rowOff>47210</xdr:rowOff>
    </xdr:to>
    <xdr:graphicFrame macro="">
      <xdr:nvGraphicFramePr>
        <xdr:cNvPr id="90" name="Renovação Automática">
          <a:extLst>
            <a:ext uri="{FF2B5EF4-FFF2-40B4-BE49-F238E27FC236}">
              <a16:creationId xmlns:a16="http://schemas.microsoft.com/office/drawing/2014/main" id="{9E11E283-1A45-3CAF-056A-4359469DD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142875</xdr:colOff>
      <xdr:row>37</xdr:row>
      <xdr:rowOff>9524</xdr:rowOff>
    </xdr:from>
    <xdr:to>
      <xdr:col>14</xdr:col>
      <xdr:colOff>533025</xdr:colOff>
      <xdr:row>51</xdr:row>
      <xdr:rowOff>259143</xdr:rowOff>
    </xdr:to>
    <xdr:graphicFrame macro="">
      <xdr:nvGraphicFramePr>
        <xdr:cNvPr id="91" name="EA Play">
          <a:extLst>
            <a:ext uri="{FF2B5EF4-FFF2-40B4-BE49-F238E27FC236}">
              <a16:creationId xmlns:a16="http://schemas.microsoft.com/office/drawing/2014/main" id="{D86AC172-686E-7987-143E-8E0915E4F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0</xdr:colOff>
      <xdr:row>37</xdr:row>
      <xdr:rowOff>2384</xdr:rowOff>
    </xdr:from>
    <xdr:to>
      <xdr:col>25</xdr:col>
      <xdr:colOff>37725</xdr:colOff>
      <xdr:row>51</xdr:row>
      <xdr:rowOff>251722</xdr:rowOff>
    </xdr:to>
    <xdr:graphicFrame macro="">
      <xdr:nvGraphicFramePr>
        <xdr:cNvPr id="92" name="Minecraft Season Pass">
          <a:extLst>
            <a:ext uri="{FF2B5EF4-FFF2-40B4-BE49-F238E27FC236}">
              <a16:creationId xmlns:a16="http://schemas.microsoft.com/office/drawing/2014/main" id="{8679AC66-555D-5DBF-13C1-F9C3A550B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5</xdr:col>
      <xdr:colOff>1</xdr:colOff>
      <xdr:row>56</xdr:row>
      <xdr:rowOff>2381</xdr:rowOff>
    </xdr:from>
    <xdr:to>
      <xdr:col>15</xdr:col>
      <xdr:colOff>13914</xdr:colOff>
      <xdr:row>71</xdr:row>
      <xdr:rowOff>25500</xdr:rowOff>
    </xdr:to>
    <xdr:graphicFrame macro="">
      <xdr:nvGraphicFramePr>
        <xdr:cNvPr id="93" name="Desempenho por Plano">
          <a:extLst>
            <a:ext uri="{FF2B5EF4-FFF2-40B4-BE49-F238E27FC236}">
              <a16:creationId xmlns:a16="http://schemas.microsoft.com/office/drawing/2014/main" id="{36655919-0A88-C660-F48C-A6C7E0171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16</xdr:col>
      <xdr:colOff>0</xdr:colOff>
      <xdr:row>56</xdr:row>
      <xdr:rowOff>2381</xdr:rowOff>
    </xdr:from>
    <xdr:to>
      <xdr:col>25</xdr:col>
      <xdr:colOff>37725</xdr:colOff>
      <xdr:row>71</xdr:row>
      <xdr:rowOff>25500</xdr:rowOff>
    </xdr:to>
    <xdr:graphicFrame macro="">
      <xdr:nvGraphicFramePr>
        <xdr:cNvPr id="94" name="Evolução Mensal">
          <a:extLst>
            <a:ext uri="{FF2B5EF4-FFF2-40B4-BE49-F238E27FC236}">
              <a16:creationId xmlns:a16="http://schemas.microsoft.com/office/drawing/2014/main" id="{938EA5CC-3C2F-1679-28DD-FF1384D83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74</xdr:row>
      <xdr:rowOff>180973</xdr:rowOff>
    </xdr:from>
    <xdr:to>
      <xdr:col>25</xdr:col>
      <xdr:colOff>0</xdr:colOff>
      <xdr:row>89</xdr:row>
      <xdr:rowOff>251718</xdr:rowOff>
    </xdr:to>
    <xdr:graphicFrame macro="">
      <xdr:nvGraphicFramePr>
        <xdr:cNvPr id="95" name="Impacto dos Cupons">
          <a:extLst>
            <a:ext uri="{FF2B5EF4-FFF2-40B4-BE49-F238E27FC236}">
              <a16:creationId xmlns:a16="http://schemas.microsoft.com/office/drawing/2014/main" id="{DC8CBC44-E7D6-5D31-CC17-0EA0CBF16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8</xdr:col>
      <xdr:colOff>461963</xdr:colOff>
      <xdr:row>33</xdr:row>
      <xdr:rowOff>154782</xdr:rowOff>
    </xdr:from>
    <xdr:to>
      <xdr:col>10</xdr:col>
      <xdr:colOff>392907</xdr:colOff>
      <xdr:row>37</xdr:row>
      <xdr:rowOff>176213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7746707C-1B36-4BF3-8CBC-73760084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1" y="6965157"/>
          <a:ext cx="1002506" cy="962025"/>
        </a:xfrm>
        <a:prstGeom prst="rect">
          <a:avLst/>
        </a:prstGeom>
      </xdr:spPr>
    </xdr:pic>
    <xdr:clientData/>
  </xdr:twoCellAnchor>
  <xdr:twoCellAnchor>
    <xdr:from>
      <xdr:col>0</xdr:col>
      <xdr:colOff>452437</xdr:colOff>
      <xdr:row>0</xdr:row>
      <xdr:rowOff>47628</xdr:rowOff>
    </xdr:from>
    <xdr:to>
      <xdr:col>1</xdr:col>
      <xdr:colOff>642937</xdr:colOff>
      <xdr:row>4</xdr:row>
      <xdr:rowOff>119065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EE2BED8A-C160-4847-B50C-994892B1A93A}"/>
            </a:ext>
          </a:extLst>
        </xdr:cNvPr>
        <xdr:cNvSpPr/>
      </xdr:nvSpPr>
      <xdr:spPr>
        <a:xfrm>
          <a:off x="1059656" y="47628"/>
          <a:ext cx="1107281" cy="1107281"/>
        </a:xfrm>
        <a:prstGeom prst="ellipse">
          <a:avLst/>
        </a:prstGeom>
        <a:blipFill>
          <a:blip xmlns:r="http://schemas.openxmlformats.org/officeDocument/2006/relationships" r:embed="rId1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4</xdr:row>
      <xdr:rowOff>226217</xdr:rowOff>
    </xdr:from>
    <xdr:to>
      <xdr:col>2</xdr:col>
      <xdr:colOff>476251</xdr:colOff>
      <xdr:row>6</xdr:row>
      <xdr:rowOff>95250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5A63FE9C-4238-4FC8-B2D5-1C7EAE78D63C}"/>
            </a:ext>
          </a:extLst>
        </xdr:cNvPr>
        <xdr:cNvSpPr/>
      </xdr:nvSpPr>
      <xdr:spPr>
        <a:xfrm>
          <a:off x="0" y="1262061"/>
          <a:ext cx="2059782" cy="3214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/>
            <a:t>&gt; Bem</a:t>
          </a:r>
          <a:r>
            <a:rPr lang="pt-BR" sz="1400" b="1" kern="1200" baseline="0"/>
            <a:t> </a:t>
          </a:r>
          <a:r>
            <a:rPr lang="pt-BR" sz="1400" b="1" kern="1200"/>
            <a:t>vindo, Lucas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son Deveza" refreshedDate="46277.612120486112" createdVersion="8" refreshedVersion="8" minRefreshableVersion="3" recordCount="295" xr:uid="{5AD44118-96BE-4E73-A3A7-564A2A811BB9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onth Start" numFmtId="166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Year" numFmtId="1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 pivotCacheId="7644918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x v="0"/>
    <n v="20"/>
    <n v="5"/>
    <n v="60"/>
    <x v="0"/>
    <n v="2024"/>
  </r>
  <r>
    <n v="3232"/>
    <s v="Maria Oliveira"/>
    <x v="1"/>
    <d v="2024-01-15T00:00:00"/>
    <x v="1"/>
    <n v="5"/>
    <x v="1"/>
    <x v="1"/>
    <s v="-"/>
    <x v="1"/>
    <n v="0"/>
    <n v="0"/>
    <n v="5"/>
    <x v="0"/>
    <n v="2024"/>
  </r>
  <r>
    <n v="3233"/>
    <s v="Lucas Fernandes"/>
    <x v="2"/>
    <d v="2024-02-10T00:00:00"/>
    <x v="0"/>
    <n v="10"/>
    <x v="2"/>
    <x v="1"/>
    <s v="-"/>
    <x v="0"/>
    <n v="20"/>
    <n v="10"/>
    <n v="20"/>
    <x v="1"/>
    <n v="2024"/>
  </r>
  <r>
    <n v="3234"/>
    <s v="Ana Souza"/>
    <x v="0"/>
    <d v="2024-02-20T00:00:00"/>
    <x v="1"/>
    <n v="15"/>
    <x v="0"/>
    <x v="0"/>
    <n v="30"/>
    <x v="0"/>
    <n v="20"/>
    <n v="3"/>
    <n v="62"/>
    <x v="1"/>
    <n v="2024"/>
  </r>
  <r>
    <n v="3235"/>
    <s v="Pedro Gonçalves"/>
    <x v="1"/>
    <d v="2024-03-05T00:00:00"/>
    <x v="0"/>
    <n v="5"/>
    <x v="0"/>
    <x v="1"/>
    <s v="-"/>
    <x v="1"/>
    <n v="0"/>
    <n v="1"/>
    <n v="4"/>
    <x v="2"/>
    <n v="2024"/>
  </r>
  <r>
    <n v="3236"/>
    <s v="Felipe Costa"/>
    <x v="2"/>
    <d v="2024-03-02T00:00:00"/>
    <x v="1"/>
    <n v="10"/>
    <x v="0"/>
    <x v="1"/>
    <s v="-"/>
    <x v="0"/>
    <n v="20"/>
    <n v="2"/>
    <n v="28"/>
    <x v="2"/>
    <n v="2024"/>
  </r>
  <r>
    <n v="3237"/>
    <s v="Camila Ribeiro"/>
    <x v="0"/>
    <d v="2024-03-03T00:00:00"/>
    <x v="0"/>
    <n v="15"/>
    <x v="2"/>
    <x v="0"/>
    <n v="30"/>
    <x v="0"/>
    <n v="20"/>
    <n v="10"/>
    <n v="55"/>
    <x v="2"/>
    <n v="2024"/>
  </r>
  <r>
    <n v="3238"/>
    <s v="André Mendes"/>
    <x v="1"/>
    <d v="2024-03-04T00:00:00"/>
    <x v="0"/>
    <n v="5"/>
    <x v="1"/>
    <x v="1"/>
    <s v="-"/>
    <x v="1"/>
    <n v="0"/>
    <n v="0"/>
    <n v="5"/>
    <x v="2"/>
    <n v="2024"/>
  </r>
  <r>
    <n v="3239"/>
    <s v="Sofia Almeida"/>
    <x v="0"/>
    <d v="2024-03-05T00:00:00"/>
    <x v="1"/>
    <n v="15"/>
    <x v="0"/>
    <x v="0"/>
    <n v="30"/>
    <x v="0"/>
    <n v="20"/>
    <n v="5"/>
    <n v="60"/>
    <x v="2"/>
    <n v="2024"/>
  </r>
  <r>
    <n v="3240"/>
    <s v="Bruno Martins"/>
    <x v="2"/>
    <d v="2024-03-06T00:00:00"/>
    <x v="0"/>
    <n v="10"/>
    <x v="2"/>
    <x v="1"/>
    <s v="-"/>
    <x v="0"/>
    <n v="20"/>
    <n v="15"/>
    <n v="15"/>
    <x v="2"/>
    <n v="2024"/>
  </r>
  <r>
    <n v="3241"/>
    <s v="Rita Castro"/>
    <x v="1"/>
    <d v="2024-03-07T00:00:00"/>
    <x v="1"/>
    <n v="5"/>
    <x v="0"/>
    <x v="1"/>
    <s v="-"/>
    <x v="1"/>
    <n v="0"/>
    <n v="1"/>
    <n v="4"/>
    <x v="2"/>
    <n v="2024"/>
  </r>
  <r>
    <n v="3242"/>
    <s v="Marco Túlio"/>
    <x v="0"/>
    <d v="2024-03-08T00:00:00"/>
    <x v="0"/>
    <n v="15"/>
    <x v="1"/>
    <x v="0"/>
    <n v="30"/>
    <x v="0"/>
    <n v="20"/>
    <n v="20"/>
    <n v="45"/>
    <x v="2"/>
    <n v="2024"/>
  </r>
  <r>
    <n v="3243"/>
    <s v="Lívia Silveira"/>
    <x v="2"/>
    <d v="2024-03-09T00:00:00"/>
    <x v="1"/>
    <n v="10"/>
    <x v="0"/>
    <x v="1"/>
    <s v="-"/>
    <x v="0"/>
    <n v="20"/>
    <n v="10"/>
    <n v="20"/>
    <x v="2"/>
    <n v="2024"/>
  </r>
  <r>
    <n v="3244"/>
    <s v="Diogo Sousa"/>
    <x v="1"/>
    <d v="2024-03-10T00:00:00"/>
    <x v="0"/>
    <n v="5"/>
    <x v="2"/>
    <x v="1"/>
    <s v="-"/>
    <x v="1"/>
    <n v="0"/>
    <n v="0"/>
    <n v="5"/>
    <x v="2"/>
    <n v="2024"/>
  </r>
  <r>
    <n v="3245"/>
    <s v="Fernanda Lima"/>
    <x v="0"/>
    <d v="2024-03-11T00:00:00"/>
    <x v="1"/>
    <n v="15"/>
    <x v="0"/>
    <x v="0"/>
    <n v="30"/>
    <x v="0"/>
    <n v="20"/>
    <n v="8"/>
    <n v="57"/>
    <x v="2"/>
    <n v="2024"/>
  </r>
  <r>
    <n v="3246"/>
    <s v="Caio Pereira"/>
    <x v="2"/>
    <d v="2024-03-12T00:00:00"/>
    <x v="0"/>
    <n v="10"/>
    <x v="1"/>
    <x v="1"/>
    <s v="-"/>
    <x v="0"/>
    <n v="20"/>
    <n v="12"/>
    <n v="18"/>
    <x v="2"/>
    <n v="2024"/>
  </r>
  <r>
    <n v="3247"/>
    <s v="Beatriz Gomes"/>
    <x v="1"/>
    <d v="2024-03-13T00:00:00"/>
    <x v="1"/>
    <n v="5"/>
    <x v="0"/>
    <x v="1"/>
    <s v="-"/>
    <x v="1"/>
    <n v="0"/>
    <n v="2"/>
    <n v="3"/>
    <x v="2"/>
    <n v="2024"/>
  </r>
  <r>
    <n v="3248"/>
    <s v="Cesar Oliveira"/>
    <x v="0"/>
    <d v="2024-03-14T00:00:00"/>
    <x v="0"/>
    <n v="15"/>
    <x v="2"/>
    <x v="0"/>
    <n v="30"/>
    <x v="0"/>
    <n v="20"/>
    <n v="7"/>
    <n v="58"/>
    <x v="2"/>
    <n v="2024"/>
  </r>
  <r>
    <n v="3249"/>
    <s v="Débora Machado"/>
    <x v="2"/>
    <d v="2024-03-15T00:00:00"/>
    <x v="1"/>
    <n v="10"/>
    <x v="0"/>
    <x v="1"/>
    <s v="-"/>
    <x v="0"/>
    <n v="20"/>
    <n v="5"/>
    <n v="25"/>
    <x v="2"/>
    <n v="2024"/>
  </r>
  <r>
    <n v="3250"/>
    <s v="Eduardo Vargas"/>
    <x v="1"/>
    <d v="2024-03-16T00:00:00"/>
    <x v="0"/>
    <n v="5"/>
    <x v="1"/>
    <x v="1"/>
    <s v="-"/>
    <x v="1"/>
    <n v="0"/>
    <n v="0"/>
    <n v="5"/>
    <x v="2"/>
    <n v="2024"/>
  </r>
  <r>
    <n v="3251"/>
    <s v="Gabriela Santos"/>
    <x v="0"/>
    <d v="2024-03-17T00:00:00"/>
    <x v="1"/>
    <n v="15"/>
    <x v="0"/>
    <x v="0"/>
    <n v="30"/>
    <x v="0"/>
    <n v="20"/>
    <n v="3"/>
    <n v="62"/>
    <x v="2"/>
    <n v="2024"/>
  </r>
  <r>
    <n v="3252"/>
    <s v="Henrique Dias"/>
    <x v="2"/>
    <d v="2024-03-18T00:00:00"/>
    <x v="0"/>
    <n v="10"/>
    <x v="2"/>
    <x v="1"/>
    <s v="-"/>
    <x v="0"/>
    <n v="20"/>
    <n v="15"/>
    <n v="15"/>
    <x v="2"/>
    <n v="2024"/>
  </r>
  <r>
    <n v="3253"/>
    <s v="Isabela Moreira"/>
    <x v="1"/>
    <d v="2024-03-19T00:00:00"/>
    <x v="1"/>
    <n v="5"/>
    <x v="0"/>
    <x v="1"/>
    <s v="-"/>
    <x v="1"/>
    <n v="0"/>
    <n v="1"/>
    <n v="4"/>
    <x v="2"/>
    <n v="2024"/>
  </r>
  <r>
    <n v="3254"/>
    <s v="Joaquim Barbosa"/>
    <x v="0"/>
    <d v="2024-03-20T00:00:00"/>
    <x v="0"/>
    <n v="15"/>
    <x v="1"/>
    <x v="0"/>
    <n v="30"/>
    <x v="0"/>
    <n v="20"/>
    <n v="20"/>
    <n v="45"/>
    <x v="2"/>
    <n v="2024"/>
  </r>
  <r>
    <n v="3255"/>
    <s v="Lara Rocha"/>
    <x v="2"/>
    <d v="2024-03-21T00:00:00"/>
    <x v="1"/>
    <n v="10"/>
    <x v="0"/>
    <x v="1"/>
    <s v="-"/>
    <x v="0"/>
    <n v="20"/>
    <n v="10"/>
    <n v="20"/>
    <x v="2"/>
    <n v="2024"/>
  </r>
  <r>
    <n v="3256"/>
    <s v="Matheus Silva"/>
    <x v="1"/>
    <d v="2024-03-22T00:00:00"/>
    <x v="0"/>
    <n v="5"/>
    <x v="2"/>
    <x v="1"/>
    <s v="-"/>
    <x v="1"/>
    <n v="0"/>
    <n v="0"/>
    <n v="5"/>
    <x v="2"/>
    <n v="2024"/>
  </r>
  <r>
    <n v="3257"/>
    <s v="Nicole Costa"/>
    <x v="0"/>
    <d v="2024-03-23T00:00:00"/>
    <x v="1"/>
    <n v="15"/>
    <x v="0"/>
    <x v="0"/>
    <n v="30"/>
    <x v="0"/>
    <n v="20"/>
    <n v="5"/>
    <n v="60"/>
    <x v="2"/>
    <n v="2024"/>
  </r>
  <r>
    <n v="3258"/>
    <s v="Otávio Mendonça"/>
    <x v="2"/>
    <d v="2024-03-24T00:00:00"/>
    <x v="0"/>
    <n v="10"/>
    <x v="1"/>
    <x v="1"/>
    <s v="-"/>
    <x v="0"/>
    <n v="20"/>
    <n v="15"/>
    <n v="15"/>
    <x v="2"/>
    <n v="2024"/>
  </r>
  <r>
    <n v="3259"/>
    <s v="Paula Ferreira"/>
    <x v="1"/>
    <d v="2024-03-25T00:00:00"/>
    <x v="1"/>
    <n v="5"/>
    <x v="0"/>
    <x v="1"/>
    <s v="-"/>
    <x v="1"/>
    <n v="0"/>
    <n v="1"/>
    <n v="4"/>
    <x v="2"/>
    <n v="2024"/>
  </r>
  <r>
    <n v="3260"/>
    <s v="Raquel Alves"/>
    <x v="0"/>
    <d v="2024-03-26T00:00:00"/>
    <x v="0"/>
    <n v="15"/>
    <x v="2"/>
    <x v="0"/>
    <n v="30"/>
    <x v="0"/>
    <n v="20"/>
    <n v="7"/>
    <n v="58"/>
    <x v="2"/>
    <n v="2024"/>
  </r>
  <r>
    <n v="3261"/>
    <s v="Samuel Pires"/>
    <x v="2"/>
    <d v="2024-03-27T00:00:00"/>
    <x v="1"/>
    <n v="10"/>
    <x v="0"/>
    <x v="1"/>
    <s v="-"/>
    <x v="0"/>
    <n v="20"/>
    <n v="10"/>
    <n v="20"/>
    <x v="2"/>
    <n v="2024"/>
  </r>
  <r>
    <n v="3262"/>
    <s v="Tânia Barros"/>
    <x v="1"/>
    <d v="2024-03-28T00:00:00"/>
    <x v="0"/>
    <n v="5"/>
    <x v="1"/>
    <x v="1"/>
    <s v="-"/>
    <x v="1"/>
    <n v="0"/>
    <n v="0"/>
    <n v="5"/>
    <x v="2"/>
    <n v="2024"/>
  </r>
  <r>
    <n v="3263"/>
    <s v="Vinicius Lima"/>
    <x v="0"/>
    <d v="2024-03-29T00:00:00"/>
    <x v="1"/>
    <n v="15"/>
    <x v="0"/>
    <x v="0"/>
    <n v="30"/>
    <x v="0"/>
    <n v="20"/>
    <n v="3"/>
    <n v="62"/>
    <x v="2"/>
    <n v="2024"/>
  </r>
  <r>
    <n v="3264"/>
    <s v="Yasmin Teixeira"/>
    <x v="2"/>
    <d v="2024-03-30T00:00:00"/>
    <x v="0"/>
    <n v="10"/>
    <x v="2"/>
    <x v="1"/>
    <s v="-"/>
    <x v="0"/>
    <n v="20"/>
    <n v="15"/>
    <n v="15"/>
    <x v="2"/>
    <n v="2024"/>
  </r>
  <r>
    <n v="3265"/>
    <s v="Zé Carlos"/>
    <x v="1"/>
    <d v="2024-03-31T00:00:00"/>
    <x v="1"/>
    <n v="5"/>
    <x v="0"/>
    <x v="1"/>
    <s v="-"/>
    <x v="1"/>
    <n v="0"/>
    <n v="1"/>
    <n v="4"/>
    <x v="2"/>
    <n v="2024"/>
  </r>
  <r>
    <n v="3266"/>
    <s v="Amanda Nogueira"/>
    <x v="1"/>
    <d v="2024-04-01T00:00:00"/>
    <x v="0"/>
    <n v="5"/>
    <x v="0"/>
    <x v="1"/>
    <s v="-"/>
    <x v="1"/>
    <n v="0"/>
    <n v="0"/>
    <n v="5"/>
    <x v="3"/>
    <n v="2024"/>
  </r>
  <r>
    <n v="3267"/>
    <s v="Bruno Cavalheiro"/>
    <x v="0"/>
    <d v="2024-04-02T00:00:00"/>
    <x v="1"/>
    <n v="15"/>
    <x v="2"/>
    <x v="0"/>
    <n v="30"/>
    <x v="0"/>
    <n v="20"/>
    <n v="7"/>
    <n v="58"/>
    <x v="3"/>
    <n v="2024"/>
  </r>
  <r>
    <n v="3268"/>
    <s v="Carla Dias"/>
    <x v="2"/>
    <d v="2024-04-03T00:00:00"/>
    <x v="0"/>
    <n v="10"/>
    <x v="1"/>
    <x v="1"/>
    <s v="-"/>
    <x v="0"/>
    <n v="20"/>
    <n v="10"/>
    <n v="20"/>
    <x v="3"/>
    <n v="2024"/>
  </r>
  <r>
    <n v="3269"/>
    <s v="Diego Fontes"/>
    <x v="1"/>
    <d v="2024-04-04T00:00:00"/>
    <x v="1"/>
    <n v="5"/>
    <x v="2"/>
    <x v="1"/>
    <s v="-"/>
    <x v="1"/>
    <n v="0"/>
    <n v="1"/>
    <n v="4"/>
    <x v="3"/>
    <n v="2024"/>
  </r>
  <r>
    <n v="3270"/>
    <s v="Eunice Lima"/>
    <x v="0"/>
    <d v="2024-04-05T00:00:00"/>
    <x v="0"/>
    <n v="15"/>
    <x v="0"/>
    <x v="0"/>
    <n v="30"/>
    <x v="0"/>
    <n v="20"/>
    <n v="15"/>
    <n v="50"/>
    <x v="3"/>
    <n v="2024"/>
  </r>
  <r>
    <n v="3271"/>
    <s v="Fábio Martins"/>
    <x v="2"/>
    <d v="2024-04-06T00:00:00"/>
    <x v="1"/>
    <n v="10"/>
    <x v="0"/>
    <x v="1"/>
    <s v="-"/>
    <x v="0"/>
    <n v="20"/>
    <n v="5"/>
    <n v="25"/>
    <x v="3"/>
    <n v="2024"/>
  </r>
  <r>
    <n v="3272"/>
    <s v="Gisele Araújo"/>
    <x v="1"/>
    <d v="2024-04-07T00:00:00"/>
    <x v="0"/>
    <n v="5"/>
    <x v="1"/>
    <x v="1"/>
    <s v="-"/>
    <x v="1"/>
    <n v="0"/>
    <n v="0"/>
    <n v="5"/>
    <x v="3"/>
    <n v="2024"/>
  </r>
  <r>
    <n v="3273"/>
    <s v="Hélio Castro"/>
    <x v="0"/>
    <d v="2024-04-08T00:00:00"/>
    <x v="1"/>
    <n v="15"/>
    <x v="2"/>
    <x v="0"/>
    <n v="30"/>
    <x v="0"/>
    <n v="20"/>
    <n v="20"/>
    <n v="45"/>
    <x v="3"/>
    <n v="2024"/>
  </r>
  <r>
    <n v="3274"/>
    <s v="Ingrid Menezes"/>
    <x v="2"/>
    <d v="2024-04-09T00:00:00"/>
    <x v="0"/>
    <n v="10"/>
    <x v="2"/>
    <x v="1"/>
    <s v="-"/>
    <x v="0"/>
    <n v="20"/>
    <n v="12"/>
    <n v="18"/>
    <x v="3"/>
    <n v="2024"/>
  </r>
  <r>
    <n v="3275"/>
    <s v="Jorge Baptista"/>
    <x v="1"/>
    <d v="2024-04-10T00:00:00"/>
    <x v="1"/>
    <n v="5"/>
    <x v="0"/>
    <x v="1"/>
    <s v="-"/>
    <x v="1"/>
    <n v="0"/>
    <n v="2"/>
    <n v="3"/>
    <x v="3"/>
    <n v="2024"/>
  </r>
  <r>
    <n v="3276"/>
    <s v="Kléber Oliveira"/>
    <x v="0"/>
    <d v="2024-04-11T00:00:00"/>
    <x v="0"/>
    <n v="15"/>
    <x v="1"/>
    <x v="0"/>
    <n v="30"/>
    <x v="0"/>
    <n v="20"/>
    <n v="5"/>
    <n v="60"/>
    <x v="3"/>
    <n v="2024"/>
  </r>
  <r>
    <n v="3277"/>
    <s v="Luciana Freitas"/>
    <x v="2"/>
    <d v="2024-04-12T00:00:00"/>
    <x v="1"/>
    <n v="10"/>
    <x v="0"/>
    <x v="1"/>
    <s v="-"/>
    <x v="0"/>
    <n v="20"/>
    <n v="10"/>
    <n v="20"/>
    <x v="3"/>
    <n v="2024"/>
  </r>
  <r>
    <n v="3278"/>
    <s v="Márcia Eller"/>
    <x v="1"/>
    <d v="2024-04-13T00:00:00"/>
    <x v="0"/>
    <n v="5"/>
    <x v="2"/>
    <x v="1"/>
    <s v="-"/>
    <x v="1"/>
    <n v="0"/>
    <n v="0"/>
    <n v="5"/>
    <x v="3"/>
    <n v="2024"/>
  </r>
  <r>
    <n v="3279"/>
    <s v="Nilo Peçanha"/>
    <x v="0"/>
    <d v="2024-04-14T00:00:00"/>
    <x v="1"/>
    <n v="15"/>
    <x v="0"/>
    <x v="0"/>
    <n v="30"/>
    <x v="0"/>
    <n v="20"/>
    <n v="3"/>
    <n v="62"/>
    <x v="3"/>
    <n v="2024"/>
  </r>
  <r>
    <n v="3280"/>
    <s v="Oscar Neves"/>
    <x v="2"/>
    <d v="2024-04-15T00:00:00"/>
    <x v="0"/>
    <n v="10"/>
    <x v="1"/>
    <x v="1"/>
    <s v="-"/>
    <x v="0"/>
    <n v="20"/>
    <n v="15"/>
    <n v="15"/>
    <x v="3"/>
    <n v="2024"/>
  </r>
  <r>
    <n v="3281"/>
    <s v="Patrícia Soares"/>
    <x v="1"/>
    <d v="2024-04-16T00:00:00"/>
    <x v="1"/>
    <n v="5"/>
    <x v="0"/>
    <x v="1"/>
    <s v="-"/>
    <x v="1"/>
    <n v="0"/>
    <n v="1"/>
    <n v="4"/>
    <x v="3"/>
    <n v="2024"/>
  </r>
  <r>
    <n v="3282"/>
    <s v="Quirino Gonçalves"/>
    <x v="0"/>
    <d v="2024-04-17T00:00:00"/>
    <x v="0"/>
    <n v="15"/>
    <x v="2"/>
    <x v="0"/>
    <n v="30"/>
    <x v="0"/>
    <n v="20"/>
    <n v="7"/>
    <n v="58"/>
    <x v="3"/>
    <n v="2024"/>
  </r>
  <r>
    <n v="3283"/>
    <s v="Raul Machado"/>
    <x v="2"/>
    <d v="2024-04-18T00:00:00"/>
    <x v="1"/>
    <n v="10"/>
    <x v="0"/>
    <x v="1"/>
    <s v="-"/>
    <x v="0"/>
    <n v="20"/>
    <n v="10"/>
    <n v="20"/>
    <x v="3"/>
    <n v="2024"/>
  </r>
  <r>
    <n v="3284"/>
    <s v="Sônia Lobo"/>
    <x v="1"/>
    <d v="2024-04-19T00:00:00"/>
    <x v="0"/>
    <n v="5"/>
    <x v="1"/>
    <x v="1"/>
    <s v="-"/>
    <x v="1"/>
    <n v="0"/>
    <n v="0"/>
    <n v="5"/>
    <x v="3"/>
    <n v="2024"/>
  </r>
  <r>
    <n v="3285"/>
    <s v="Tiago Ramos"/>
    <x v="0"/>
    <d v="2024-04-20T00:00:00"/>
    <x v="1"/>
    <n v="15"/>
    <x v="0"/>
    <x v="0"/>
    <n v="30"/>
    <x v="0"/>
    <n v="20"/>
    <n v="20"/>
    <n v="45"/>
    <x v="3"/>
    <n v="2024"/>
  </r>
  <r>
    <n v="3286"/>
    <s v="Ugo Pires"/>
    <x v="2"/>
    <d v="2024-04-21T00:00:00"/>
    <x v="0"/>
    <n v="10"/>
    <x v="2"/>
    <x v="1"/>
    <s v="-"/>
    <x v="0"/>
    <n v="20"/>
    <n v="15"/>
    <n v="15"/>
    <x v="3"/>
    <n v="2024"/>
  </r>
  <r>
    <n v="3287"/>
    <s v="Valéria Nobre"/>
    <x v="1"/>
    <d v="2024-04-22T00:00:00"/>
    <x v="1"/>
    <n v="5"/>
    <x v="0"/>
    <x v="1"/>
    <s v="-"/>
    <x v="1"/>
    <n v="0"/>
    <n v="1"/>
    <n v="4"/>
    <x v="3"/>
    <n v="2024"/>
  </r>
  <r>
    <n v="3288"/>
    <s v="William Siqueira"/>
    <x v="0"/>
    <d v="2024-04-23T00:00:00"/>
    <x v="0"/>
    <n v="15"/>
    <x v="1"/>
    <x v="0"/>
    <n v="30"/>
    <x v="0"/>
    <n v="20"/>
    <n v="3"/>
    <n v="62"/>
    <x v="3"/>
    <n v="2024"/>
  </r>
  <r>
    <n v="3289"/>
    <s v="Xuxa Meneghel"/>
    <x v="2"/>
    <d v="2024-04-24T00:00:00"/>
    <x v="1"/>
    <n v="10"/>
    <x v="0"/>
    <x v="1"/>
    <s v="-"/>
    <x v="0"/>
    <n v="20"/>
    <n v="10"/>
    <n v="20"/>
    <x v="3"/>
    <n v="2024"/>
  </r>
  <r>
    <n v="3290"/>
    <s v="Yara Figueiredo"/>
    <x v="1"/>
    <d v="2024-04-25T00:00:00"/>
    <x v="0"/>
    <n v="5"/>
    <x v="2"/>
    <x v="1"/>
    <s v="-"/>
    <x v="1"/>
    <n v="0"/>
    <n v="0"/>
    <n v="5"/>
    <x v="3"/>
    <n v="2024"/>
  </r>
  <r>
    <n v="3291"/>
    <s v="Zacarias Alves"/>
    <x v="0"/>
    <d v="2024-04-26T00:00:00"/>
    <x v="1"/>
    <n v="15"/>
    <x v="0"/>
    <x v="0"/>
    <n v="30"/>
    <x v="0"/>
    <n v="20"/>
    <n v="5"/>
    <n v="60"/>
    <x v="3"/>
    <n v="2024"/>
  </r>
  <r>
    <n v="3292"/>
    <s v="Amanda Bynes"/>
    <x v="2"/>
    <d v="2024-04-27T00:00:00"/>
    <x v="0"/>
    <n v="10"/>
    <x v="1"/>
    <x v="1"/>
    <s v="-"/>
    <x v="0"/>
    <n v="20"/>
    <n v="15"/>
    <n v="15"/>
    <x v="3"/>
    <n v="2024"/>
  </r>
  <r>
    <n v="3293"/>
    <s v="Bruno Mars"/>
    <x v="1"/>
    <d v="2024-04-28T00:00:00"/>
    <x v="1"/>
    <n v="5"/>
    <x v="0"/>
    <x v="1"/>
    <s v="-"/>
    <x v="1"/>
    <n v="0"/>
    <n v="1"/>
    <n v="4"/>
    <x v="3"/>
    <n v="2024"/>
  </r>
  <r>
    <n v="3294"/>
    <s v="Carla Bruni"/>
    <x v="0"/>
    <d v="2024-04-29T00:00:00"/>
    <x v="0"/>
    <n v="15"/>
    <x v="2"/>
    <x v="0"/>
    <n v="30"/>
    <x v="0"/>
    <n v="20"/>
    <n v="20"/>
    <n v="45"/>
    <x v="3"/>
    <n v="2024"/>
  </r>
  <r>
    <n v="3295"/>
    <s v="Diego Maradona"/>
    <x v="2"/>
    <d v="2024-04-30T00:00:00"/>
    <x v="1"/>
    <n v="10"/>
    <x v="0"/>
    <x v="1"/>
    <s v="-"/>
    <x v="0"/>
    <n v="20"/>
    <n v="5"/>
    <n v="25"/>
    <x v="3"/>
    <n v="2024"/>
  </r>
  <r>
    <n v="3296"/>
    <s v="Estela Marques"/>
    <x v="1"/>
    <d v="2024-05-01T00:00:00"/>
    <x v="1"/>
    <n v="5"/>
    <x v="0"/>
    <x v="1"/>
    <s v="-"/>
    <x v="1"/>
    <n v="0"/>
    <n v="0"/>
    <n v="5"/>
    <x v="4"/>
    <n v="2024"/>
  </r>
  <r>
    <n v="3297"/>
    <s v="Fábio Nobre"/>
    <x v="0"/>
    <d v="2024-05-02T00:00:00"/>
    <x v="0"/>
    <n v="15"/>
    <x v="2"/>
    <x v="0"/>
    <n v="30"/>
    <x v="0"/>
    <n v="20"/>
    <n v="7"/>
    <n v="58"/>
    <x v="4"/>
    <n v="2024"/>
  </r>
  <r>
    <n v="3298"/>
    <s v="Gabriel Oliveira"/>
    <x v="2"/>
    <d v="2024-05-03T00:00:00"/>
    <x v="1"/>
    <n v="10"/>
    <x v="1"/>
    <x v="1"/>
    <s v="-"/>
    <x v="0"/>
    <n v="20"/>
    <n v="10"/>
    <n v="20"/>
    <x v="4"/>
    <n v="2024"/>
  </r>
  <r>
    <n v="3299"/>
    <s v="Helena Santos"/>
    <x v="1"/>
    <d v="2024-05-04T00:00:00"/>
    <x v="0"/>
    <n v="5"/>
    <x v="2"/>
    <x v="1"/>
    <s v="-"/>
    <x v="1"/>
    <n v="0"/>
    <n v="1"/>
    <n v="4"/>
    <x v="4"/>
    <n v="2024"/>
  </r>
  <r>
    <n v="3300"/>
    <s v="Ivan Carvalho"/>
    <x v="0"/>
    <d v="2024-05-05T00:00:00"/>
    <x v="1"/>
    <n v="15"/>
    <x v="0"/>
    <x v="0"/>
    <n v="30"/>
    <x v="0"/>
    <n v="20"/>
    <n v="15"/>
    <n v="50"/>
    <x v="4"/>
    <n v="2024"/>
  </r>
  <r>
    <n v="3301"/>
    <s v="Júlia Ferreira"/>
    <x v="2"/>
    <d v="2024-05-06T00:00:00"/>
    <x v="0"/>
    <n v="10"/>
    <x v="0"/>
    <x v="1"/>
    <s v="-"/>
    <x v="0"/>
    <n v="20"/>
    <n v="5"/>
    <n v="25"/>
    <x v="4"/>
    <n v="2024"/>
  </r>
  <r>
    <n v="3302"/>
    <s v="Karla Alves"/>
    <x v="1"/>
    <d v="2024-05-07T00:00:00"/>
    <x v="1"/>
    <n v="5"/>
    <x v="1"/>
    <x v="1"/>
    <s v="-"/>
    <x v="1"/>
    <n v="0"/>
    <n v="0"/>
    <n v="5"/>
    <x v="4"/>
    <n v="2024"/>
  </r>
  <r>
    <n v="3303"/>
    <s v="Lucas Mendes"/>
    <x v="0"/>
    <d v="2024-05-08T00:00:00"/>
    <x v="0"/>
    <n v="15"/>
    <x v="2"/>
    <x v="0"/>
    <n v="30"/>
    <x v="0"/>
    <n v="20"/>
    <n v="20"/>
    <n v="45"/>
    <x v="4"/>
    <n v="2024"/>
  </r>
  <r>
    <n v="3304"/>
    <s v="Mônica Gomes"/>
    <x v="2"/>
    <d v="2024-05-09T00:00:00"/>
    <x v="1"/>
    <n v="10"/>
    <x v="2"/>
    <x v="1"/>
    <s v="-"/>
    <x v="0"/>
    <n v="20"/>
    <n v="12"/>
    <n v="18"/>
    <x v="4"/>
    <n v="2024"/>
  </r>
  <r>
    <n v="3305"/>
    <s v="Norberto Queiroz"/>
    <x v="1"/>
    <d v="2024-05-10T00:00:00"/>
    <x v="0"/>
    <n v="5"/>
    <x v="0"/>
    <x v="1"/>
    <s v="-"/>
    <x v="1"/>
    <n v="0"/>
    <n v="2"/>
    <n v="3"/>
    <x v="4"/>
    <n v="2024"/>
  </r>
  <r>
    <n v="3306"/>
    <s v="Otávio Barros"/>
    <x v="0"/>
    <d v="2024-05-11T00:00:00"/>
    <x v="1"/>
    <n v="15"/>
    <x v="1"/>
    <x v="0"/>
    <n v="30"/>
    <x v="0"/>
    <n v="20"/>
    <n v="5"/>
    <n v="60"/>
    <x v="4"/>
    <n v="2024"/>
  </r>
  <r>
    <n v="3307"/>
    <s v="Paula Vieira"/>
    <x v="2"/>
    <d v="2024-05-12T00:00:00"/>
    <x v="0"/>
    <n v="10"/>
    <x v="0"/>
    <x v="1"/>
    <s v="-"/>
    <x v="0"/>
    <n v="20"/>
    <n v="10"/>
    <n v="20"/>
    <x v="4"/>
    <n v="2024"/>
  </r>
  <r>
    <n v="3308"/>
    <s v="Quentin Ramos"/>
    <x v="1"/>
    <d v="2024-05-13T00:00:00"/>
    <x v="1"/>
    <n v="5"/>
    <x v="2"/>
    <x v="1"/>
    <s v="-"/>
    <x v="1"/>
    <n v="0"/>
    <n v="0"/>
    <n v="5"/>
    <x v="4"/>
    <n v="2024"/>
  </r>
  <r>
    <n v="3309"/>
    <s v="Raquel Novaes"/>
    <x v="0"/>
    <d v="2024-05-14T00:00:00"/>
    <x v="0"/>
    <n v="15"/>
    <x v="0"/>
    <x v="0"/>
    <n v="30"/>
    <x v="0"/>
    <n v="20"/>
    <n v="3"/>
    <n v="62"/>
    <x v="4"/>
    <n v="2024"/>
  </r>
  <r>
    <n v="3310"/>
    <s v="Samantha Lopes"/>
    <x v="2"/>
    <d v="2024-05-15T00:00:00"/>
    <x v="1"/>
    <n v="10"/>
    <x v="1"/>
    <x v="1"/>
    <s v="-"/>
    <x v="0"/>
    <n v="20"/>
    <n v="15"/>
    <n v="15"/>
    <x v="4"/>
    <n v="2024"/>
  </r>
  <r>
    <n v="3311"/>
    <s v="Tiago Martins"/>
    <x v="1"/>
    <d v="2024-05-16T00:00:00"/>
    <x v="0"/>
    <n v="5"/>
    <x v="0"/>
    <x v="1"/>
    <s v="-"/>
    <x v="1"/>
    <n v="0"/>
    <n v="1"/>
    <n v="4"/>
    <x v="4"/>
    <n v="2024"/>
  </r>
  <r>
    <n v="3312"/>
    <s v="Ulysses Guimarães"/>
    <x v="0"/>
    <d v="2024-05-17T00:00:00"/>
    <x v="1"/>
    <n v="15"/>
    <x v="2"/>
    <x v="0"/>
    <n v="30"/>
    <x v="0"/>
    <n v="20"/>
    <n v="7"/>
    <n v="58"/>
    <x v="4"/>
    <n v="2024"/>
  </r>
  <r>
    <n v="3313"/>
    <s v="Vanessa Silva"/>
    <x v="2"/>
    <d v="2024-05-18T00:00:00"/>
    <x v="0"/>
    <n v="10"/>
    <x v="0"/>
    <x v="1"/>
    <s v="-"/>
    <x v="0"/>
    <n v="20"/>
    <n v="10"/>
    <n v="20"/>
    <x v="4"/>
    <n v="2024"/>
  </r>
  <r>
    <n v="3314"/>
    <s v="William Carneiro"/>
    <x v="1"/>
    <d v="2024-05-19T00:00:00"/>
    <x v="1"/>
    <n v="5"/>
    <x v="1"/>
    <x v="1"/>
    <s v="-"/>
    <x v="1"/>
    <n v="0"/>
    <n v="0"/>
    <n v="5"/>
    <x v="4"/>
    <n v="2024"/>
  </r>
  <r>
    <n v="3315"/>
    <s v="Ximena Rocha"/>
    <x v="0"/>
    <d v="2024-05-20T00:00:00"/>
    <x v="0"/>
    <n v="15"/>
    <x v="0"/>
    <x v="0"/>
    <n v="30"/>
    <x v="0"/>
    <n v="20"/>
    <n v="20"/>
    <n v="45"/>
    <x v="4"/>
    <n v="2024"/>
  </r>
  <r>
    <n v="3316"/>
    <s v="Yasmin Figueiredo"/>
    <x v="2"/>
    <d v="2024-05-21T00:00:00"/>
    <x v="1"/>
    <n v="10"/>
    <x v="2"/>
    <x v="1"/>
    <s v="-"/>
    <x v="0"/>
    <n v="20"/>
    <n v="15"/>
    <n v="15"/>
    <x v="4"/>
    <n v="2024"/>
  </r>
  <r>
    <n v="3317"/>
    <s v="Zara Cunha"/>
    <x v="1"/>
    <d v="2024-05-22T00:00:00"/>
    <x v="0"/>
    <n v="5"/>
    <x v="0"/>
    <x v="1"/>
    <s v="-"/>
    <x v="1"/>
    <n v="0"/>
    <n v="1"/>
    <n v="4"/>
    <x v="4"/>
    <n v="2024"/>
  </r>
  <r>
    <n v="3318"/>
    <s v="Alan Teixeira"/>
    <x v="0"/>
    <d v="2024-05-23T00:00:00"/>
    <x v="1"/>
    <n v="15"/>
    <x v="1"/>
    <x v="0"/>
    <n v="30"/>
    <x v="0"/>
    <n v="20"/>
    <n v="3"/>
    <n v="62"/>
    <x v="4"/>
    <n v="2024"/>
  </r>
  <r>
    <n v="3319"/>
    <s v="Bárbara Oliveira"/>
    <x v="2"/>
    <d v="2024-05-24T00:00:00"/>
    <x v="0"/>
    <n v="10"/>
    <x v="0"/>
    <x v="1"/>
    <s v="-"/>
    <x v="0"/>
    <n v="20"/>
    <n v="10"/>
    <n v="20"/>
    <x v="4"/>
    <n v="2024"/>
  </r>
  <r>
    <n v="3320"/>
    <s v="Carlos Junqueira"/>
    <x v="1"/>
    <d v="2024-05-25T00:00:00"/>
    <x v="1"/>
    <n v="5"/>
    <x v="2"/>
    <x v="1"/>
    <s v="-"/>
    <x v="1"/>
    <n v="0"/>
    <n v="0"/>
    <n v="5"/>
    <x v="4"/>
    <n v="2024"/>
  </r>
  <r>
    <n v="3321"/>
    <s v="Daniela Moura"/>
    <x v="0"/>
    <d v="2024-05-26T00:00:00"/>
    <x v="0"/>
    <n v="15"/>
    <x v="0"/>
    <x v="0"/>
    <n v="30"/>
    <x v="0"/>
    <n v="20"/>
    <n v="5"/>
    <n v="60"/>
    <x v="4"/>
    <n v="2024"/>
  </r>
  <r>
    <n v="3322"/>
    <s v="Eduardo Lima"/>
    <x v="2"/>
    <d v="2024-05-27T00:00:00"/>
    <x v="1"/>
    <n v="10"/>
    <x v="1"/>
    <x v="1"/>
    <s v="-"/>
    <x v="0"/>
    <n v="20"/>
    <n v="15"/>
    <n v="15"/>
    <x v="4"/>
    <n v="2024"/>
  </r>
  <r>
    <n v="3323"/>
    <s v="Fabiana Araújo"/>
    <x v="1"/>
    <d v="2024-05-28T00:00:00"/>
    <x v="0"/>
    <n v="5"/>
    <x v="0"/>
    <x v="1"/>
    <s v="-"/>
    <x v="1"/>
    <n v="0"/>
    <n v="1"/>
    <n v="4"/>
    <x v="4"/>
    <n v="2024"/>
  </r>
  <r>
    <n v="3324"/>
    <s v="Geraldo Ribeiro"/>
    <x v="0"/>
    <d v="2024-05-29T00:00:00"/>
    <x v="1"/>
    <n v="15"/>
    <x v="2"/>
    <x v="0"/>
    <n v="30"/>
    <x v="0"/>
    <n v="20"/>
    <n v="20"/>
    <n v="45"/>
    <x v="4"/>
    <n v="2024"/>
  </r>
  <r>
    <n v="3325"/>
    <s v="Héctor Vargas"/>
    <x v="2"/>
    <d v="2024-05-30T00:00:00"/>
    <x v="0"/>
    <n v="10"/>
    <x v="2"/>
    <x v="1"/>
    <s v="-"/>
    <x v="0"/>
    <n v="20"/>
    <n v="15"/>
    <n v="15"/>
    <x v="4"/>
    <n v="2024"/>
  </r>
  <r>
    <n v="3326"/>
    <s v="Isabela Fonseca"/>
    <x v="1"/>
    <d v="2024-05-31T00:00:00"/>
    <x v="1"/>
    <n v="5"/>
    <x v="1"/>
    <x v="1"/>
    <s v="-"/>
    <x v="1"/>
    <n v="0"/>
    <n v="0"/>
    <n v="5"/>
    <x v="4"/>
    <n v="2024"/>
  </r>
  <r>
    <n v="3327"/>
    <s v="João Pedro Almeida"/>
    <x v="0"/>
    <d v="2024-06-01T00:00:00"/>
    <x v="0"/>
    <n v="15"/>
    <x v="0"/>
    <x v="0"/>
    <n v="30"/>
    <x v="0"/>
    <n v="20"/>
    <n v="7"/>
    <n v="58"/>
    <x v="5"/>
    <n v="2024"/>
  </r>
  <r>
    <n v="3328"/>
    <s v="Klara Costa"/>
    <x v="2"/>
    <d v="2024-06-02T00:00:00"/>
    <x v="1"/>
    <n v="10"/>
    <x v="1"/>
    <x v="1"/>
    <s v="-"/>
    <x v="0"/>
    <n v="20"/>
    <n v="10"/>
    <n v="20"/>
    <x v="5"/>
    <n v="2024"/>
  </r>
  <r>
    <n v="3329"/>
    <s v="Luciana Mendes"/>
    <x v="1"/>
    <d v="2024-06-03T00:00:00"/>
    <x v="0"/>
    <n v="5"/>
    <x v="2"/>
    <x v="1"/>
    <s v="-"/>
    <x v="1"/>
    <n v="0"/>
    <n v="1"/>
    <n v="4"/>
    <x v="5"/>
    <n v="2024"/>
  </r>
  <r>
    <n v="3330"/>
    <s v="Marcelo Gouveia"/>
    <x v="0"/>
    <d v="2024-06-04T00:00:00"/>
    <x v="1"/>
    <n v="15"/>
    <x v="0"/>
    <x v="0"/>
    <n v="30"/>
    <x v="0"/>
    <n v="20"/>
    <n v="15"/>
    <n v="50"/>
    <x v="5"/>
    <n v="2024"/>
  </r>
  <r>
    <n v="3331"/>
    <s v="Nívea Borges"/>
    <x v="2"/>
    <d v="2024-06-05T00:00:00"/>
    <x v="0"/>
    <n v="10"/>
    <x v="0"/>
    <x v="1"/>
    <s v="-"/>
    <x v="0"/>
    <n v="20"/>
    <n v="5"/>
    <n v="25"/>
    <x v="5"/>
    <n v="2024"/>
  </r>
  <r>
    <n v="3332"/>
    <s v="Oscar Nogueira"/>
    <x v="1"/>
    <d v="2024-06-06T00:00:00"/>
    <x v="1"/>
    <n v="5"/>
    <x v="1"/>
    <x v="1"/>
    <s v="-"/>
    <x v="1"/>
    <n v="0"/>
    <n v="0"/>
    <n v="5"/>
    <x v="5"/>
    <n v="2024"/>
  </r>
  <r>
    <n v="3333"/>
    <s v="Patrícia Alves"/>
    <x v="0"/>
    <d v="2024-06-07T00:00:00"/>
    <x v="0"/>
    <n v="15"/>
    <x v="2"/>
    <x v="0"/>
    <n v="30"/>
    <x v="0"/>
    <n v="20"/>
    <n v="20"/>
    <n v="45"/>
    <x v="5"/>
    <n v="2024"/>
  </r>
  <r>
    <n v="3334"/>
    <s v="Rafaela Silva"/>
    <x v="2"/>
    <d v="2024-06-08T00:00:00"/>
    <x v="1"/>
    <n v="10"/>
    <x v="2"/>
    <x v="1"/>
    <s v="-"/>
    <x v="0"/>
    <n v="20"/>
    <n v="12"/>
    <n v="18"/>
    <x v="5"/>
    <n v="2024"/>
  </r>
  <r>
    <n v="3335"/>
    <s v="Samantha Moraes"/>
    <x v="1"/>
    <d v="2024-06-09T00:00:00"/>
    <x v="0"/>
    <n v="5"/>
    <x v="0"/>
    <x v="1"/>
    <s v="-"/>
    <x v="1"/>
    <n v="0"/>
    <n v="2"/>
    <n v="3"/>
    <x v="5"/>
    <n v="2024"/>
  </r>
  <r>
    <n v="3336"/>
    <s v="Tatiana Rocha"/>
    <x v="1"/>
    <d v="2024-06-10T00:00:00"/>
    <x v="0"/>
    <n v="5"/>
    <x v="0"/>
    <x v="1"/>
    <s v="-"/>
    <x v="1"/>
    <n v="0"/>
    <n v="0"/>
    <n v="5"/>
    <x v="5"/>
    <n v="2024"/>
  </r>
  <r>
    <n v="3337"/>
    <s v="Ulisses Tavares"/>
    <x v="0"/>
    <d v="2024-06-11T00:00:00"/>
    <x v="1"/>
    <n v="15"/>
    <x v="2"/>
    <x v="0"/>
    <n v="30"/>
    <x v="0"/>
    <n v="20"/>
    <n v="7"/>
    <n v="58"/>
    <x v="5"/>
    <n v="2024"/>
  </r>
  <r>
    <n v="3338"/>
    <s v="Víctor Lemos"/>
    <x v="2"/>
    <d v="2024-06-12T00:00:00"/>
    <x v="0"/>
    <n v="10"/>
    <x v="1"/>
    <x v="1"/>
    <s v="-"/>
    <x v="0"/>
    <n v="20"/>
    <n v="10"/>
    <n v="20"/>
    <x v="5"/>
    <n v="2024"/>
  </r>
  <r>
    <n v="3339"/>
    <s v="Wilma Barros"/>
    <x v="1"/>
    <d v="2024-06-13T00:00:00"/>
    <x v="1"/>
    <n v="5"/>
    <x v="2"/>
    <x v="1"/>
    <s v="-"/>
    <x v="1"/>
    <n v="0"/>
    <n v="1"/>
    <n v="4"/>
    <x v="5"/>
    <n v="2024"/>
  </r>
  <r>
    <n v="3340"/>
    <s v="Xavier Nascimento"/>
    <x v="0"/>
    <d v="2024-06-14T00:00:00"/>
    <x v="0"/>
    <n v="15"/>
    <x v="0"/>
    <x v="0"/>
    <n v="30"/>
    <x v="0"/>
    <n v="20"/>
    <n v="15"/>
    <n v="50"/>
    <x v="5"/>
    <n v="2024"/>
  </r>
  <r>
    <n v="3341"/>
    <s v="Yago Pereira"/>
    <x v="2"/>
    <d v="2024-06-15T00:00:00"/>
    <x v="1"/>
    <n v="10"/>
    <x v="0"/>
    <x v="1"/>
    <s v="-"/>
    <x v="0"/>
    <n v="20"/>
    <n v="5"/>
    <n v="25"/>
    <x v="5"/>
    <n v="2024"/>
  </r>
  <r>
    <n v="3342"/>
    <s v="Zilda Ferreira"/>
    <x v="1"/>
    <d v="2024-06-16T00:00:00"/>
    <x v="0"/>
    <n v="5"/>
    <x v="1"/>
    <x v="1"/>
    <s v="-"/>
    <x v="1"/>
    <n v="0"/>
    <n v="0"/>
    <n v="5"/>
    <x v="5"/>
    <n v="2024"/>
  </r>
  <r>
    <n v="3343"/>
    <s v="Amanda Lopes"/>
    <x v="0"/>
    <d v="2024-06-17T00:00:00"/>
    <x v="1"/>
    <n v="15"/>
    <x v="2"/>
    <x v="0"/>
    <n v="30"/>
    <x v="0"/>
    <n v="20"/>
    <n v="20"/>
    <n v="45"/>
    <x v="5"/>
    <n v="2024"/>
  </r>
  <r>
    <n v="3344"/>
    <s v="Bruno Miranda"/>
    <x v="2"/>
    <d v="2024-06-18T00:00:00"/>
    <x v="0"/>
    <n v="10"/>
    <x v="2"/>
    <x v="1"/>
    <s v="-"/>
    <x v="0"/>
    <n v="20"/>
    <n v="12"/>
    <n v="18"/>
    <x v="5"/>
    <n v="2024"/>
  </r>
  <r>
    <n v="3345"/>
    <s v="Célia Torres"/>
    <x v="1"/>
    <d v="2024-06-19T00:00:00"/>
    <x v="1"/>
    <n v="5"/>
    <x v="0"/>
    <x v="1"/>
    <s v="-"/>
    <x v="1"/>
    <n v="0"/>
    <n v="2"/>
    <n v="3"/>
    <x v="5"/>
    <n v="2024"/>
  </r>
  <r>
    <n v="3346"/>
    <s v="Diogo Souza"/>
    <x v="0"/>
    <d v="2024-06-20T00:00:00"/>
    <x v="0"/>
    <n v="15"/>
    <x v="1"/>
    <x v="0"/>
    <n v="30"/>
    <x v="0"/>
    <n v="20"/>
    <n v="5"/>
    <n v="60"/>
    <x v="5"/>
    <n v="2024"/>
  </r>
  <r>
    <n v="3347"/>
    <s v="Elisa Castro"/>
    <x v="2"/>
    <d v="2024-06-21T00:00:00"/>
    <x v="1"/>
    <n v="10"/>
    <x v="0"/>
    <x v="1"/>
    <s v="-"/>
    <x v="0"/>
    <n v="20"/>
    <n v="10"/>
    <n v="20"/>
    <x v="5"/>
    <n v="2024"/>
  </r>
  <r>
    <n v="3348"/>
    <s v="Fátima Lima"/>
    <x v="1"/>
    <d v="2024-06-22T00:00:00"/>
    <x v="0"/>
    <n v="5"/>
    <x v="2"/>
    <x v="1"/>
    <s v="-"/>
    <x v="1"/>
    <n v="0"/>
    <n v="0"/>
    <n v="5"/>
    <x v="5"/>
    <n v="2024"/>
  </r>
  <r>
    <n v="3349"/>
    <s v="Geraldo Ribeiro"/>
    <x v="0"/>
    <d v="2024-06-23T00:00:00"/>
    <x v="1"/>
    <n v="15"/>
    <x v="0"/>
    <x v="0"/>
    <n v="30"/>
    <x v="0"/>
    <n v="20"/>
    <n v="3"/>
    <n v="62"/>
    <x v="5"/>
    <n v="2024"/>
  </r>
  <r>
    <n v="3350"/>
    <s v="Hélio Martins"/>
    <x v="2"/>
    <d v="2024-06-24T00:00:00"/>
    <x v="0"/>
    <n v="10"/>
    <x v="1"/>
    <x v="1"/>
    <s v="-"/>
    <x v="0"/>
    <n v="20"/>
    <n v="15"/>
    <n v="15"/>
    <x v="5"/>
    <n v="2024"/>
  </r>
  <r>
    <n v="3351"/>
    <s v="Íris Santos"/>
    <x v="1"/>
    <d v="2024-06-25T00:00:00"/>
    <x v="1"/>
    <n v="5"/>
    <x v="0"/>
    <x v="1"/>
    <s v="-"/>
    <x v="1"/>
    <n v="0"/>
    <n v="1"/>
    <n v="4"/>
    <x v="5"/>
    <n v="2024"/>
  </r>
  <r>
    <n v="3352"/>
    <s v="João Marcelo"/>
    <x v="0"/>
    <d v="2024-06-26T00:00:00"/>
    <x v="0"/>
    <n v="15"/>
    <x v="2"/>
    <x v="0"/>
    <n v="30"/>
    <x v="0"/>
    <n v="20"/>
    <n v="7"/>
    <n v="58"/>
    <x v="5"/>
    <n v="2024"/>
  </r>
  <r>
    <n v="3353"/>
    <s v="Larissa Gomes"/>
    <x v="2"/>
    <d v="2024-06-27T00:00:00"/>
    <x v="1"/>
    <n v="10"/>
    <x v="0"/>
    <x v="1"/>
    <s v="-"/>
    <x v="0"/>
    <n v="20"/>
    <n v="10"/>
    <n v="20"/>
    <x v="5"/>
    <n v="2024"/>
  </r>
  <r>
    <n v="3354"/>
    <s v="Márcio Silva"/>
    <x v="1"/>
    <d v="2024-06-28T00:00:00"/>
    <x v="0"/>
    <n v="5"/>
    <x v="1"/>
    <x v="1"/>
    <s v="-"/>
    <x v="1"/>
    <n v="0"/>
    <n v="0"/>
    <n v="5"/>
    <x v="5"/>
    <n v="2024"/>
  </r>
  <r>
    <n v="3355"/>
    <s v="Nadia Costa"/>
    <x v="0"/>
    <d v="2024-06-29T00:00:00"/>
    <x v="1"/>
    <n v="15"/>
    <x v="0"/>
    <x v="0"/>
    <n v="30"/>
    <x v="0"/>
    <n v="20"/>
    <n v="20"/>
    <n v="45"/>
    <x v="5"/>
    <n v="2024"/>
  </r>
  <r>
    <n v="3356"/>
    <s v="Oscar Almeida"/>
    <x v="2"/>
    <d v="2024-06-30T00:00:00"/>
    <x v="0"/>
    <n v="10"/>
    <x v="2"/>
    <x v="1"/>
    <s v="-"/>
    <x v="0"/>
    <n v="20"/>
    <n v="15"/>
    <n v="15"/>
    <x v="5"/>
    <n v="2024"/>
  </r>
  <r>
    <n v="3357"/>
    <s v="Patricia Soares"/>
    <x v="1"/>
    <d v="2024-07-01T00:00:00"/>
    <x v="1"/>
    <n v="5"/>
    <x v="0"/>
    <x v="1"/>
    <s v="-"/>
    <x v="1"/>
    <n v="0"/>
    <n v="1"/>
    <n v="4"/>
    <x v="6"/>
    <n v="2024"/>
  </r>
  <r>
    <n v="3358"/>
    <s v="Quênia Barros"/>
    <x v="0"/>
    <d v="2024-07-02T00:00:00"/>
    <x v="0"/>
    <n v="15"/>
    <x v="1"/>
    <x v="0"/>
    <n v="30"/>
    <x v="0"/>
    <n v="20"/>
    <n v="3"/>
    <n v="62"/>
    <x v="6"/>
    <n v="2024"/>
  </r>
  <r>
    <n v="3359"/>
    <s v="Rafael Torres"/>
    <x v="2"/>
    <d v="2024-07-03T00:00:00"/>
    <x v="1"/>
    <n v="10"/>
    <x v="0"/>
    <x v="1"/>
    <s v="-"/>
    <x v="0"/>
    <n v="20"/>
    <n v="10"/>
    <n v="20"/>
    <x v="6"/>
    <n v="2024"/>
  </r>
  <r>
    <n v="3360"/>
    <s v="Silvia Nascimento"/>
    <x v="1"/>
    <d v="2024-07-04T00:00:00"/>
    <x v="0"/>
    <n v="5"/>
    <x v="2"/>
    <x v="1"/>
    <s v="-"/>
    <x v="1"/>
    <n v="0"/>
    <n v="0"/>
    <n v="5"/>
    <x v="6"/>
    <n v="2024"/>
  </r>
  <r>
    <n v="3361"/>
    <s v="Tiago Mendes"/>
    <x v="0"/>
    <d v="2024-07-05T00:00:00"/>
    <x v="1"/>
    <n v="15"/>
    <x v="0"/>
    <x v="0"/>
    <n v="30"/>
    <x v="0"/>
    <n v="20"/>
    <n v="15"/>
    <n v="50"/>
    <x v="6"/>
    <n v="2024"/>
  </r>
  <r>
    <n v="3362"/>
    <s v="Ursula Silva"/>
    <x v="2"/>
    <d v="2024-07-06T00:00:00"/>
    <x v="0"/>
    <n v="10"/>
    <x v="1"/>
    <x v="1"/>
    <s v="-"/>
    <x v="0"/>
    <n v="20"/>
    <n v="15"/>
    <n v="15"/>
    <x v="6"/>
    <n v="2024"/>
  </r>
  <r>
    <n v="3363"/>
    <s v="Vanessa Moraes"/>
    <x v="1"/>
    <d v="2024-07-07T00:00:00"/>
    <x v="1"/>
    <n v="5"/>
    <x v="0"/>
    <x v="1"/>
    <s v="-"/>
    <x v="1"/>
    <n v="0"/>
    <n v="1"/>
    <n v="4"/>
    <x v="6"/>
    <n v="2024"/>
  </r>
  <r>
    <n v="3364"/>
    <s v="Waldir Junior"/>
    <x v="0"/>
    <d v="2024-07-08T00:00:00"/>
    <x v="0"/>
    <n v="15"/>
    <x v="2"/>
    <x v="0"/>
    <n v="30"/>
    <x v="0"/>
    <n v="20"/>
    <n v="7"/>
    <n v="58"/>
    <x v="6"/>
    <n v="2024"/>
  </r>
  <r>
    <n v="3365"/>
    <s v="Xavier Lopes"/>
    <x v="2"/>
    <d v="2024-07-09T00:00:00"/>
    <x v="1"/>
    <n v="10"/>
    <x v="0"/>
    <x v="1"/>
    <s v="-"/>
    <x v="0"/>
    <n v="20"/>
    <n v="10"/>
    <n v="20"/>
    <x v="6"/>
    <n v="2024"/>
  </r>
  <r>
    <n v="3366"/>
    <s v="Yolanda Freitas"/>
    <x v="1"/>
    <d v="2024-07-10T00:00:00"/>
    <x v="0"/>
    <n v="5"/>
    <x v="0"/>
    <x v="1"/>
    <s v="-"/>
    <x v="1"/>
    <n v="0"/>
    <n v="0"/>
    <n v="5"/>
    <x v="6"/>
    <n v="2024"/>
  </r>
  <r>
    <n v="3367"/>
    <s v="Zacarias Nunes"/>
    <x v="0"/>
    <d v="2024-07-11T00:00:00"/>
    <x v="1"/>
    <n v="15"/>
    <x v="2"/>
    <x v="0"/>
    <n v="30"/>
    <x v="0"/>
    <n v="20"/>
    <n v="7"/>
    <n v="58"/>
    <x v="6"/>
    <n v="2024"/>
  </r>
  <r>
    <n v="3368"/>
    <s v="Ana Clara Barreto"/>
    <x v="2"/>
    <d v="2024-07-12T00:00:00"/>
    <x v="0"/>
    <n v="10"/>
    <x v="1"/>
    <x v="1"/>
    <s v="-"/>
    <x v="0"/>
    <n v="20"/>
    <n v="10"/>
    <n v="20"/>
    <x v="6"/>
    <n v="2024"/>
  </r>
  <r>
    <n v="3369"/>
    <s v="Bruno Henrique"/>
    <x v="1"/>
    <d v="2024-07-13T00:00:00"/>
    <x v="1"/>
    <n v="5"/>
    <x v="2"/>
    <x v="1"/>
    <s v="-"/>
    <x v="1"/>
    <n v="0"/>
    <n v="1"/>
    <n v="4"/>
    <x v="6"/>
    <n v="2024"/>
  </r>
  <r>
    <n v="3370"/>
    <s v="Carlos Eduardo"/>
    <x v="0"/>
    <d v="2024-07-14T00:00:00"/>
    <x v="0"/>
    <n v="15"/>
    <x v="0"/>
    <x v="0"/>
    <n v="30"/>
    <x v="0"/>
    <n v="20"/>
    <n v="15"/>
    <n v="50"/>
    <x v="6"/>
    <n v="2024"/>
  </r>
  <r>
    <n v="3371"/>
    <s v="Débora Lima"/>
    <x v="2"/>
    <d v="2024-07-15T00:00:00"/>
    <x v="1"/>
    <n v="10"/>
    <x v="0"/>
    <x v="1"/>
    <s v="-"/>
    <x v="0"/>
    <n v="20"/>
    <n v="5"/>
    <n v="25"/>
    <x v="6"/>
    <n v="2024"/>
  </r>
  <r>
    <n v="3372"/>
    <s v="Elisa Neves"/>
    <x v="1"/>
    <d v="2024-07-16T00:00:00"/>
    <x v="0"/>
    <n v="5"/>
    <x v="1"/>
    <x v="1"/>
    <s v="-"/>
    <x v="1"/>
    <n v="0"/>
    <n v="0"/>
    <n v="5"/>
    <x v="6"/>
    <n v="2024"/>
  </r>
  <r>
    <n v="3373"/>
    <s v="Fabiano Gomes"/>
    <x v="0"/>
    <d v="2024-07-17T00:00:00"/>
    <x v="1"/>
    <n v="15"/>
    <x v="2"/>
    <x v="0"/>
    <n v="30"/>
    <x v="0"/>
    <n v="20"/>
    <n v="20"/>
    <n v="45"/>
    <x v="6"/>
    <n v="2024"/>
  </r>
  <r>
    <n v="3374"/>
    <s v="Gisele Oliveira"/>
    <x v="2"/>
    <d v="2024-07-18T00:00:00"/>
    <x v="0"/>
    <n v="10"/>
    <x v="2"/>
    <x v="1"/>
    <s v="-"/>
    <x v="0"/>
    <n v="20"/>
    <n v="12"/>
    <n v="18"/>
    <x v="6"/>
    <n v="2024"/>
  </r>
  <r>
    <n v="3375"/>
    <s v="Héctor Silva"/>
    <x v="1"/>
    <d v="2024-07-19T00:00:00"/>
    <x v="1"/>
    <n v="5"/>
    <x v="0"/>
    <x v="1"/>
    <s v="-"/>
    <x v="1"/>
    <n v="0"/>
    <n v="2"/>
    <n v="3"/>
    <x v="6"/>
    <n v="2024"/>
  </r>
  <r>
    <n v="3376"/>
    <s v="Igor Martins"/>
    <x v="0"/>
    <d v="2024-07-20T00:00:00"/>
    <x v="0"/>
    <n v="15"/>
    <x v="1"/>
    <x v="0"/>
    <n v="30"/>
    <x v="0"/>
    <n v="20"/>
    <n v="5"/>
    <n v="60"/>
    <x v="6"/>
    <n v="2024"/>
  </r>
  <r>
    <n v="3377"/>
    <s v="Joana Figueiredo"/>
    <x v="2"/>
    <d v="2024-07-21T00:00:00"/>
    <x v="1"/>
    <n v="10"/>
    <x v="0"/>
    <x v="1"/>
    <s v="-"/>
    <x v="0"/>
    <n v="20"/>
    <n v="10"/>
    <n v="20"/>
    <x v="6"/>
    <n v="2024"/>
  </r>
  <r>
    <n v="3378"/>
    <s v="Kleber Machado"/>
    <x v="1"/>
    <d v="2024-07-22T00:00:00"/>
    <x v="0"/>
    <n v="5"/>
    <x v="2"/>
    <x v="1"/>
    <s v="-"/>
    <x v="1"/>
    <n v="0"/>
    <n v="0"/>
    <n v="5"/>
    <x v="6"/>
    <n v="2024"/>
  </r>
  <r>
    <n v="3379"/>
    <s v="Luciana Santos"/>
    <x v="0"/>
    <d v="2024-07-23T00:00:00"/>
    <x v="1"/>
    <n v="15"/>
    <x v="0"/>
    <x v="0"/>
    <n v="30"/>
    <x v="0"/>
    <n v="20"/>
    <n v="3"/>
    <n v="62"/>
    <x v="6"/>
    <n v="2024"/>
  </r>
  <r>
    <n v="3380"/>
    <s v="Marcos Teixeira"/>
    <x v="2"/>
    <d v="2024-07-24T00:00:00"/>
    <x v="0"/>
    <n v="10"/>
    <x v="1"/>
    <x v="1"/>
    <s v="-"/>
    <x v="0"/>
    <n v="20"/>
    <n v="15"/>
    <n v="15"/>
    <x v="6"/>
    <n v="2024"/>
  </r>
  <r>
    <n v="3381"/>
    <s v="Natalia Costa"/>
    <x v="1"/>
    <d v="2024-07-25T00:00:00"/>
    <x v="1"/>
    <n v="5"/>
    <x v="0"/>
    <x v="1"/>
    <s v="-"/>
    <x v="1"/>
    <n v="0"/>
    <n v="1"/>
    <n v="4"/>
    <x v="6"/>
    <n v="2024"/>
  </r>
  <r>
    <n v="3382"/>
    <s v="Oscar Ribeiro"/>
    <x v="0"/>
    <d v="2024-07-26T00:00:00"/>
    <x v="0"/>
    <n v="15"/>
    <x v="2"/>
    <x v="0"/>
    <n v="30"/>
    <x v="0"/>
    <n v="20"/>
    <n v="7"/>
    <n v="58"/>
    <x v="6"/>
    <n v="2024"/>
  </r>
  <r>
    <n v="3383"/>
    <s v="Patricia Almeida"/>
    <x v="2"/>
    <d v="2024-07-27T00:00:00"/>
    <x v="1"/>
    <n v="10"/>
    <x v="0"/>
    <x v="1"/>
    <s v="-"/>
    <x v="0"/>
    <n v="20"/>
    <n v="10"/>
    <n v="20"/>
    <x v="6"/>
    <n v="2024"/>
  </r>
  <r>
    <n v="3384"/>
    <s v="Quirino Junior"/>
    <x v="1"/>
    <d v="2024-07-28T00:00:00"/>
    <x v="0"/>
    <n v="5"/>
    <x v="1"/>
    <x v="1"/>
    <s v="-"/>
    <x v="1"/>
    <n v="0"/>
    <n v="0"/>
    <n v="5"/>
    <x v="6"/>
    <n v="2024"/>
  </r>
  <r>
    <n v="3385"/>
    <s v="Renata Machado"/>
    <x v="0"/>
    <d v="2024-07-29T00:00:00"/>
    <x v="1"/>
    <n v="15"/>
    <x v="0"/>
    <x v="0"/>
    <n v="30"/>
    <x v="0"/>
    <n v="20"/>
    <n v="20"/>
    <n v="45"/>
    <x v="6"/>
    <n v="2024"/>
  </r>
  <r>
    <n v="3386"/>
    <s v="Sônia Alves"/>
    <x v="2"/>
    <d v="2024-07-30T00:00:00"/>
    <x v="0"/>
    <n v="10"/>
    <x v="2"/>
    <x v="1"/>
    <s v="-"/>
    <x v="0"/>
    <n v="20"/>
    <n v="15"/>
    <n v="15"/>
    <x v="6"/>
    <n v="2024"/>
  </r>
  <r>
    <n v="3387"/>
    <s v="Tiago Nunes"/>
    <x v="1"/>
    <d v="2024-07-31T00:00:00"/>
    <x v="1"/>
    <n v="5"/>
    <x v="0"/>
    <x v="1"/>
    <s v="-"/>
    <x v="1"/>
    <n v="0"/>
    <n v="1"/>
    <n v="4"/>
    <x v="6"/>
    <n v="2024"/>
  </r>
  <r>
    <n v="3388"/>
    <s v="Ulysses Pereira"/>
    <x v="0"/>
    <d v="2024-08-01T00:00:00"/>
    <x v="0"/>
    <n v="15"/>
    <x v="1"/>
    <x v="0"/>
    <n v="30"/>
    <x v="0"/>
    <n v="20"/>
    <n v="3"/>
    <n v="62"/>
    <x v="7"/>
    <n v="2024"/>
  </r>
  <r>
    <n v="3389"/>
    <s v="Vanessa Lima"/>
    <x v="2"/>
    <d v="2024-08-02T00:00:00"/>
    <x v="1"/>
    <n v="10"/>
    <x v="0"/>
    <x v="1"/>
    <s v="-"/>
    <x v="0"/>
    <n v="20"/>
    <n v="10"/>
    <n v="20"/>
    <x v="7"/>
    <n v="2024"/>
  </r>
  <r>
    <n v="3390"/>
    <s v="Wagner Santos"/>
    <x v="1"/>
    <d v="2024-08-03T00:00:00"/>
    <x v="0"/>
    <n v="5"/>
    <x v="2"/>
    <x v="1"/>
    <s v="-"/>
    <x v="1"/>
    <n v="0"/>
    <n v="0"/>
    <n v="5"/>
    <x v="7"/>
    <n v="2024"/>
  </r>
  <r>
    <n v="3391"/>
    <s v="Xuxa Meneghel"/>
    <x v="0"/>
    <d v="2024-08-04T00:00:00"/>
    <x v="1"/>
    <n v="15"/>
    <x v="0"/>
    <x v="0"/>
    <n v="30"/>
    <x v="0"/>
    <n v="20"/>
    <n v="15"/>
    <n v="50"/>
    <x v="7"/>
    <n v="2024"/>
  </r>
  <r>
    <n v="3392"/>
    <s v="Yasmin Silva"/>
    <x v="2"/>
    <d v="2024-08-05T00:00:00"/>
    <x v="0"/>
    <n v="10"/>
    <x v="1"/>
    <x v="1"/>
    <s v="-"/>
    <x v="0"/>
    <n v="20"/>
    <n v="15"/>
    <n v="15"/>
    <x v="7"/>
    <n v="2024"/>
  </r>
  <r>
    <n v="3393"/>
    <s v="Zacarias de Souza"/>
    <x v="1"/>
    <d v="2024-08-06T00:00:00"/>
    <x v="1"/>
    <n v="5"/>
    <x v="0"/>
    <x v="1"/>
    <s v="-"/>
    <x v="1"/>
    <n v="0"/>
    <n v="1"/>
    <n v="4"/>
    <x v="7"/>
    <n v="2024"/>
  </r>
  <r>
    <n v="3394"/>
    <s v="André Lima"/>
    <x v="0"/>
    <d v="2024-08-07T00:00:00"/>
    <x v="0"/>
    <n v="15"/>
    <x v="2"/>
    <x v="0"/>
    <n v="30"/>
    <x v="0"/>
    <n v="20"/>
    <n v="7"/>
    <n v="58"/>
    <x v="7"/>
    <n v="2024"/>
  </r>
  <r>
    <n v="3395"/>
    <s v="Bianca Freitas"/>
    <x v="2"/>
    <d v="2024-08-08T00:00:00"/>
    <x v="1"/>
    <n v="10"/>
    <x v="0"/>
    <x v="1"/>
    <s v="-"/>
    <x v="0"/>
    <n v="20"/>
    <n v="10"/>
    <n v="20"/>
    <x v="7"/>
    <n v="2024"/>
  </r>
  <r>
    <n v="3396"/>
    <s v="Caio Mendes"/>
    <x v="1"/>
    <d v="2024-08-09T00:00:00"/>
    <x v="0"/>
    <n v="5"/>
    <x v="1"/>
    <x v="1"/>
    <s v="-"/>
    <x v="1"/>
    <n v="0"/>
    <n v="0"/>
    <n v="5"/>
    <x v="7"/>
    <n v="2024"/>
  </r>
  <r>
    <n v="3397"/>
    <s v="Daniela Moura"/>
    <x v="0"/>
    <d v="2024-08-10T00:00:00"/>
    <x v="1"/>
    <n v="15"/>
    <x v="0"/>
    <x v="0"/>
    <n v="30"/>
    <x v="0"/>
    <n v="20"/>
    <n v="20"/>
    <n v="45"/>
    <x v="7"/>
    <n v="2024"/>
  </r>
  <r>
    <n v="3398"/>
    <s v="Eduardo Costa"/>
    <x v="2"/>
    <d v="2024-08-11T00:00:00"/>
    <x v="0"/>
    <n v="10"/>
    <x v="2"/>
    <x v="1"/>
    <s v="-"/>
    <x v="0"/>
    <n v="20"/>
    <n v="15"/>
    <n v="15"/>
    <x v="7"/>
    <n v="2024"/>
  </r>
  <r>
    <n v="3399"/>
    <s v="Fernanda Gomes"/>
    <x v="1"/>
    <d v="2024-08-12T00:00:00"/>
    <x v="1"/>
    <n v="5"/>
    <x v="0"/>
    <x v="1"/>
    <s v="-"/>
    <x v="1"/>
    <n v="0"/>
    <n v="1"/>
    <n v="4"/>
    <x v="7"/>
    <n v="2024"/>
  </r>
  <r>
    <n v="3400"/>
    <s v="Guilherme Souza"/>
    <x v="0"/>
    <d v="2024-08-13T00:00:00"/>
    <x v="0"/>
    <n v="15"/>
    <x v="1"/>
    <x v="0"/>
    <n v="30"/>
    <x v="0"/>
    <n v="20"/>
    <n v="5"/>
    <n v="60"/>
    <x v="7"/>
    <n v="2024"/>
  </r>
  <r>
    <n v="3401"/>
    <s v="Helena Ribeiro"/>
    <x v="2"/>
    <d v="2024-08-14T00:00:00"/>
    <x v="1"/>
    <n v="10"/>
    <x v="0"/>
    <x v="1"/>
    <s v="-"/>
    <x v="0"/>
    <n v="20"/>
    <n v="10"/>
    <n v="20"/>
    <x v="7"/>
    <n v="2024"/>
  </r>
  <r>
    <n v="3402"/>
    <s v="Igor Santos"/>
    <x v="1"/>
    <d v="2024-08-15T00:00:00"/>
    <x v="0"/>
    <n v="5"/>
    <x v="2"/>
    <x v="1"/>
    <s v="-"/>
    <x v="1"/>
    <n v="0"/>
    <n v="0"/>
    <n v="5"/>
    <x v="7"/>
    <n v="2024"/>
  </r>
  <r>
    <n v="3403"/>
    <s v="João Carvalho"/>
    <x v="0"/>
    <d v="2024-08-16T00:00:00"/>
    <x v="1"/>
    <n v="15"/>
    <x v="0"/>
    <x v="0"/>
    <n v="30"/>
    <x v="0"/>
    <n v="20"/>
    <n v="3"/>
    <n v="62"/>
    <x v="7"/>
    <n v="2024"/>
  </r>
  <r>
    <n v="3404"/>
    <s v="Klara Fagundes"/>
    <x v="2"/>
    <d v="2024-08-17T00:00:00"/>
    <x v="0"/>
    <n v="10"/>
    <x v="1"/>
    <x v="1"/>
    <s v="-"/>
    <x v="0"/>
    <n v="20"/>
    <n v="15"/>
    <n v="15"/>
    <x v="7"/>
    <n v="2024"/>
  </r>
  <r>
    <n v="3405"/>
    <s v="Lúcia Mendonça"/>
    <x v="1"/>
    <d v="2024-08-18T00:00:00"/>
    <x v="1"/>
    <n v="5"/>
    <x v="0"/>
    <x v="1"/>
    <s v="-"/>
    <x v="1"/>
    <n v="0"/>
    <n v="1"/>
    <n v="4"/>
    <x v="7"/>
    <n v="2024"/>
  </r>
  <r>
    <n v="3406"/>
    <s v="Marcelo Novaes"/>
    <x v="1"/>
    <d v="2024-08-19T00:00:00"/>
    <x v="0"/>
    <n v="5"/>
    <x v="0"/>
    <x v="1"/>
    <s v="-"/>
    <x v="1"/>
    <n v="0"/>
    <n v="0"/>
    <n v="5"/>
    <x v="7"/>
    <n v="2024"/>
  </r>
  <r>
    <n v="3407"/>
    <s v="Nina Pacheco"/>
    <x v="0"/>
    <d v="2024-08-20T00:00:00"/>
    <x v="1"/>
    <n v="15"/>
    <x v="2"/>
    <x v="0"/>
    <n v="30"/>
    <x v="0"/>
    <n v="20"/>
    <n v="7"/>
    <n v="58"/>
    <x v="7"/>
    <n v="2024"/>
  </r>
  <r>
    <n v="3408"/>
    <s v="Olívia Rios"/>
    <x v="2"/>
    <d v="2024-08-21T00:00:00"/>
    <x v="0"/>
    <n v="10"/>
    <x v="1"/>
    <x v="1"/>
    <s v="-"/>
    <x v="0"/>
    <n v="20"/>
    <n v="10"/>
    <n v="20"/>
    <x v="7"/>
    <n v="2024"/>
  </r>
  <r>
    <n v="3409"/>
    <s v="Paulo Quintana"/>
    <x v="1"/>
    <d v="2024-08-22T00:00:00"/>
    <x v="1"/>
    <n v="5"/>
    <x v="2"/>
    <x v="1"/>
    <s v="-"/>
    <x v="1"/>
    <n v="0"/>
    <n v="1"/>
    <n v="4"/>
    <x v="7"/>
    <n v="2024"/>
  </r>
  <r>
    <n v="3410"/>
    <s v="Raquel Domingos"/>
    <x v="0"/>
    <d v="2024-08-23T00:00:00"/>
    <x v="0"/>
    <n v="15"/>
    <x v="0"/>
    <x v="0"/>
    <n v="30"/>
    <x v="0"/>
    <n v="20"/>
    <n v="15"/>
    <n v="50"/>
    <x v="7"/>
    <n v="2024"/>
  </r>
  <r>
    <n v="3411"/>
    <s v="Samuel Viana"/>
    <x v="2"/>
    <d v="2024-08-24T00:00:00"/>
    <x v="1"/>
    <n v="10"/>
    <x v="0"/>
    <x v="1"/>
    <s v="-"/>
    <x v="0"/>
    <n v="20"/>
    <n v="5"/>
    <n v="25"/>
    <x v="7"/>
    <n v="2024"/>
  </r>
  <r>
    <n v="3412"/>
    <s v="Tatiane Rocha"/>
    <x v="1"/>
    <d v="2024-08-25T00:00:00"/>
    <x v="0"/>
    <n v="5"/>
    <x v="1"/>
    <x v="1"/>
    <s v="-"/>
    <x v="1"/>
    <n v="0"/>
    <n v="0"/>
    <n v="5"/>
    <x v="7"/>
    <n v="2024"/>
  </r>
  <r>
    <n v="3413"/>
    <s v="Ulysses Farias"/>
    <x v="0"/>
    <d v="2024-08-26T00:00:00"/>
    <x v="1"/>
    <n v="15"/>
    <x v="2"/>
    <x v="0"/>
    <n v="30"/>
    <x v="0"/>
    <n v="20"/>
    <n v="20"/>
    <n v="45"/>
    <x v="7"/>
    <n v="2024"/>
  </r>
  <r>
    <n v="3414"/>
    <s v="Vanessa Moreira"/>
    <x v="2"/>
    <d v="2024-08-27T00:00:00"/>
    <x v="0"/>
    <n v="10"/>
    <x v="2"/>
    <x v="1"/>
    <s v="-"/>
    <x v="0"/>
    <n v="20"/>
    <n v="12"/>
    <n v="18"/>
    <x v="7"/>
    <n v="2024"/>
  </r>
  <r>
    <n v="3415"/>
    <s v="William Carvalho"/>
    <x v="1"/>
    <d v="2024-08-28T00:00:00"/>
    <x v="1"/>
    <n v="5"/>
    <x v="0"/>
    <x v="1"/>
    <s v="-"/>
    <x v="1"/>
    <n v="0"/>
    <n v="2"/>
    <n v="3"/>
    <x v="7"/>
    <n v="2024"/>
  </r>
  <r>
    <n v="3416"/>
    <s v="Ximena Barros"/>
    <x v="0"/>
    <d v="2024-08-29T00:00:00"/>
    <x v="0"/>
    <n v="15"/>
    <x v="1"/>
    <x v="0"/>
    <n v="30"/>
    <x v="0"/>
    <n v="20"/>
    <n v="5"/>
    <n v="60"/>
    <x v="7"/>
    <n v="2024"/>
  </r>
  <r>
    <n v="3417"/>
    <s v="Yara Machado"/>
    <x v="2"/>
    <d v="2024-08-30T00:00:00"/>
    <x v="1"/>
    <n v="10"/>
    <x v="0"/>
    <x v="1"/>
    <s v="-"/>
    <x v="0"/>
    <n v="20"/>
    <n v="10"/>
    <n v="20"/>
    <x v="7"/>
    <n v="2024"/>
  </r>
  <r>
    <n v="3418"/>
    <s v="Zacarias Costa"/>
    <x v="1"/>
    <d v="2024-08-31T00:00:00"/>
    <x v="0"/>
    <n v="5"/>
    <x v="2"/>
    <x v="1"/>
    <s v="-"/>
    <x v="1"/>
    <n v="0"/>
    <n v="0"/>
    <n v="5"/>
    <x v="7"/>
    <n v="2024"/>
  </r>
  <r>
    <n v="3419"/>
    <s v="André Lopes"/>
    <x v="0"/>
    <d v="2024-09-01T00:00:00"/>
    <x v="1"/>
    <n v="15"/>
    <x v="0"/>
    <x v="0"/>
    <n v="30"/>
    <x v="0"/>
    <n v="20"/>
    <n v="3"/>
    <n v="62"/>
    <x v="8"/>
    <n v="2024"/>
  </r>
  <r>
    <n v="3420"/>
    <s v="Beatriz Souza"/>
    <x v="2"/>
    <d v="2024-09-02T00:00:00"/>
    <x v="0"/>
    <n v="10"/>
    <x v="1"/>
    <x v="1"/>
    <s v="-"/>
    <x v="0"/>
    <n v="20"/>
    <n v="15"/>
    <n v="15"/>
    <x v="8"/>
    <n v="2024"/>
  </r>
  <r>
    <n v="3421"/>
    <s v="Caio Pereira"/>
    <x v="1"/>
    <d v="2024-09-03T00:00:00"/>
    <x v="1"/>
    <n v="5"/>
    <x v="0"/>
    <x v="1"/>
    <s v="-"/>
    <x v="1"/>
    <n v="0"/>
    <n v="1"/>
    <n v="4"/>
    <x v="8"/>
    <n v="2024"/>
  </r>
  <r>
    <n v="3422"/>
    <s v="Daniela Araújo"/>
    <x v="0"/>
    <d v="2024-09-04T00:00:00"/>
    <x v="0"/>
    <n v="15"/>
    <x v="2"/>
    <x v="0"/>
    <n v="30"/>
    <x v="0"/>
    <n v="20"/>
    <n v="7"/>
    <n v="58"/>
    <x v="8"/>
    <n v="2024"/>
  </r>
  <r>
    <n v="3423"/>
    <s v="Eduardo Santos"/>
    <x v="2"/>
    <d v="2024-09-05T00:00:00"/>
    <x v="1"/>
    <n v="10"/>
    <x v="0"/>
    <x v="1"/>
    <s v="-"/>
    <x v="0"/>
    <n v="20"/>
    <n v="10"/>
    <n v="20"/>
    <x v="8"/>
    <n v="2024"/>
  </r>
  <r>
    <n v="3424"/>
    <s v="Fernanda Lima"/>
    <x v="1"/>
    <d v="2024-09-06T00:00:00"/>
    <x v="0"/>
    <n v="5"/>
    <x v="1"/>
    <x v="1"/>
    <s v="-"/>
    <x v="1"/>
    <n v="0"/>
    <n v="0"/>
    <n v="5"/>
    <x v="8"/>
    <n v="2024"/>
  </r>
  <r>
    <n v="3425"/>
    <s v="Gabriel Teixeira"/>
    <x v="0"/>
    <d v="2024-09-07T00:00:00"/>
    <x v="1"/>
    <n v="15"/>
    <x v="0"/>
    <x v="0"/>
    <n v="30"/>
    <x v="0"/>
    <n v="20"/>
    <n v="20"/>
    <n v="45"/>
    <x v="8"/>
    <n v="2024"/>
  </r>
  <r>
    <n v="3426"/>
    <s v="Helena Ribeiro"/>
    <x v="2"/>
    <d v="2024-09-08T00:00:00"/>
    <x v="0"/>
    <n v="10"/>
    <x v="2"/>
    <x v="1"/>
    <s v="-"/>
    <x v="0"/>
    <n v="20"/>
    <n v="15"/>
    <n v="15"/>
    <x v="8"/>
    <n v="2024"/>
  </r>
  <r>
    <n v="3427"/>
    <s v="Igor Mendes"/>
    <x v="1"/>
    <d v="2024-09-09T00:00:00"/>
    <x v="1"/>
    <n v="5"/>
    <x v="0"/>
    <x v="1"/>
    <s v="-"/>
    <x v="1"/>
    <n v="0"/>
    <n v="1"/>
    <n v="4"/>
    <x v="8"/>
    <n v="2024"/>
  </r>
  <r>
    <n v="3428"/>
    <s v="Joana Silveira"/>
    <x v="0"/>
    <d v="2024-09-10T00:00:00"/>
    <x v="0"/>
    <n v="15"/>
    <x v="1"/>
    <x v="0"/>
    <n v="30"/>
    <x v="0"/>
    <n v="20"/>
    <n v="3"/>
    <n v="62"/>
    <x v="8"/>
    <n v="2024"/>
  </r>
  <r>
    <n v="3429"/>
    <s v="Lucas Martins"/>
    <x v="2"/>
    <d v="2024-09-11T00:00:00"/>
    <x v="1"/>
    <n v="10"/>
    <x v="0"/>
    <x v="1"/>
    <s v="-"/>
    <x v="0"/>
    <n v="20"/>
    <n v="10"/>
    <n v="20"/>
    <x v="8"/>
    <n v="2024"/>
  </r>
  <r>
    <n v="3430"/>
    <s v="Marcela Gouveia"/>
    <x v="1"/>
    <d v="2024-09-12T00:00:00"/>
    <x v="0"/>
    <n v="5"/>
    <x v="2"/>
    <x v="1"/>
    <s v="-"/>
    <x v="1"/>
    <n v="0"/>
    <n v="0"/>
    <n v="5"/>
    <x v="8"/>
    <n v="2024"/>
  </r>
  <r>
    <n v="3431"/>
    <s v="Nicolas Borges"/>
    <x v="0"/>
    <d v="2024-09-13T00:00:00"/>
    <x v="1"/>
    <n v="15"/>
    <x v="0"/>
    <x v="0"/>
    <n v="30"/>
    <x v="0"/>
    <n v="20"/>
    <n v="15"/>
    <n v="50"/>
    <x v="8"/>
    <n v="2024"/>
  </r>
  <r>
    <n v="3432"/>
    <s v="Olivia Freitas"/>
    <x v="2"/>
    <d v="2024-09-14T00:00:00"/>
    <x v="0"/>
    <n v="10"/>
    <x v="1"/>
    <x v="1"/>
    <s v="-"/>
    <x v="0"/>
    <n v="20"/>
    <n v="15"/>
    <n v="15"/>
    <x v="8"/>
    <n v="2024"/>
  </r>
  <r>
    <n v="3433"/>
    <s v="Paulo Nogueira"/>
    <x v="1"/>
    <d v="2024-09-15T00:00:00"/>
    <x v="1"/>
    <n v="5"/>
    <x v="0"/>
    <x v="1"/>
    <s v="-"/>
    <x v="1"/>
    <n v="0"/>
    <n v="1"/>
    <n v="4"/>
    <x v="8"/>
    <n v="2024"/>
  </r>
  <r>
    <n v="3434"/>
    <s v="Raquel Andrade"/>
    <x v="0"/>
    <d v="2024-09-16T00:00:00"/>
    <x v="0"/>
    <n v="15"/>
    <x v="2"/>
    <x v="0"/>
    <n v="30"/>
    <x v="0"/>
    <n v="20"/>
    <n v="7"/>
    <n v="58"/>
    <x v="8"/>
    <n v="2024"/>
  </r>
  <r>
    <n v="3435"/>
    <s v="Sônia Carvalho"/>
    <x v="2"/>
    <d v="2024-09-17T00:00:00"/>
    <x v="1"/>
    <n v="10"/>
    <x v="0"/>
    <x v="1"/>
    <s v="-"/>
    <x v="0"/>
    <n v="20"/>
    <n v="10"/>
    <n v="20"/>
    <x v="8"/>
    <n v="2024"/>
  </r>
  <r>
    <n v="3436"/>
    <s v="Tiago Rodrigues"/>
    <x v="1"/>
    <d v="2024-09-18T00:00:00"/>
    <x v="0"/>
    <n v="5"/>
    <x v="0"/>
    <x v="1"/>
    <s v="-"/>
    <x v="1"/>
    <n v="0"/>
    <n v="0"/>
    <n v="5"/>
    <x v="8"/>
    <n v="2024"/>
  </r>
  <r>
    <n v="3437"/>
    <s v="Ursula Monteiro"/>
    <x v="0"/>
    <d v="2024-09-19T00:00:00"/>
    <x v="1"/>
    <n v="15"/>
    <x v="2"/>
    <x v="0"/>
    <n v="30"/>
    <x v="0"/>
    <n v="20"/>
    <n v="7"/>
    <n v="58"/>
    <x v="8"/>
    <n v="2024"/>
  </r>
  <r>
    <n v="3438"/>
    <s v="Vanessa Pereira"/>
    <x v="2"/>
    <d v="2024-09-20T00:00:00"/>
    <x v="0"/>
    <n v="10"/>
    <x v="1"/>
    <x v="1"/>
    <s v="-"/>
    <x v="0"/>
    <n v="20"/>
    <n v="10"/>
    <n v="20"/>
    <x v="8"/>
    <n v="2024"/>
  </r>
  <r>
    <n v="3439"/>
    <s v="Walter Silva"/>
    <x v="1"/>
    <d v="2024-09-21T00:00:00"/>
    <x v="1"/>
    <n v="5"/>
    <x v="2"/>
    <x v="1"/>
    <s v="-"/>
    <x v="1"/>
    <n v="0"/>
    <n v="1"/>
    <n v="4"/>
    <x v="8"/>
    <n v="2024"/>
  </r>
  <r>
    <n v="3440"/>
    <s v="Xavier Almeida"/>
    <x v="0"/>
    <d v="2024-09-22T00:00:00"/>
    <x v="0"/>
    <n v="15"/>
    <x v="0"/>
    <x v="0"/>
    <n v="30"/>
    <x v="0"/>
    <n v="20"/>
    <n v="15"/>
    <n v="50"/>
    <x v="8"/>
    <n v="2024"/>
  </r>
  <r>
    <n v="3441"/>
    <s v="Yasmine Correia"/>
    <x v="2"/>
    <d v="2024-09-23T00:00:00"/>
    <x v="1"/>
    <n v="10"/>
    <x v="0"/>
    <x v="1"/>
    <s v="-"/>
    <x v="0"/>
    <n v="20"/>
    <n v="5"/>
    <n v="25"/>
    <x v="8"/>
    <n v="2024"/>
  </r>
  <r>
    <n v="3442"/>
    <s v="Zacarias Almeida"/>
    <x v="1"/>
    <d v="2024-09-24T00:00:00"/>
    <x v="0"/>
    <n v="5"/>
    <x v="1"/>
    <x v="1"/>
    <s v="-"/>
    <x v="1"/>
    <n v="0"/>
    <n v="0"/>
    <n v="5"/>
    <x v="8"/>
    <n v="2024"/>
  </r>
  <r>
    <n v="3443"/>
    <s v="Amanda Costa"/>
    <x v="0"/>
    <d v="2024-09-25T00:00:00"/>
    <x v="1"/>
    <n v="15"/>
    <x v="2"/>
    <x v="0"/>
    <n v="30"/>
    <x v="0"/>
    <n v="20"/>
    <n v="20"/>
    <n v="45"/>
    <x v="8"/>
    <n v="2024"/>
  </r>
  <r>
    <n v="3444"/>
    <s v="Bruno Ferreira"/>
    <x v="2"/>
    <d v="2024-09-26T00:00:00"/>
    <x v="0"/>
    <n v="10"/>
    <x v="2"/>
    <x v="1"/>
    <s v="-"/>
    <x v="0"/>
    <n v="20"/>
    <n v="12"/>
    <n v="18"/>
    <x v="8"/>
    <n v="2024"/>
  </r>
  <r>
    <n v="3445"/>
    <s v="Carla Dias"/>
    <x v="1"/>
    <d v="2024-09-27T00:00:00"/>
    <x v="1"/>
    <n v="5"/>
    <x v="0"/>
    <x v="1"/>
    <s v="-"/>
    <x v="1"/>
    <n v="0"/>
    <n v="2"/>
    <n v="3"/>
    <x v="8"/>
    <n v="2024"/>
  </r>
  <r>
    <n v="3446"/>
    <s v="Diogo Martins"/>
    <x v="0"/>
    <d v="2024-09-28T00:00:00"/>
    <x v="0"/>
    <n v="15"/>
    <x v="1"/>
    <x v="0"/>
    <n v="30"/>
    <x v="0"/>
    <n v="20"/>
    <n v="5"/>
    <n v="60"/>
    <x v="8"/>
    <n v="2024"/>
  </r>
  <r>
    <n v="3447"/>
    <s v="Elisa Campos"/>
    <x v="2"/>
    <d v="2024-09-29T00:00:00"/>
    <x v="1"/>
    <n v="10"/>
    <x v="0"/>
    <x v="1"/>
    <s v="-"/>
    <x v="0"/>
    <n v="20"/>
    <n v="10"/>
    <n v="20"/>
    <x v="8"/>
    <n v="2024"/>
  </r>
  <r>
    <n v="3448"/>
    <s v="Fabiana Lima"/>
    <x v="1"/>
    <d v="2024-09-30T00:00:00"/>
    <x v="0"/>
    <n v="5"/>
    <x v="2"/>
    <x v="1"/>
    <s v="-"/>
    <x v="1"/>
    <n v="0"/>
    <n v="0"/>
    <n v="5"/>
    <x v="8"/>
    <n v="2024"/>
  </r>
  <r>
    <n v="3449"/>
    <s v="Gabriel Santos"/>
    <x v="0"/>
    <d v="2024-10-01T00:00:00"/>
    <x v="1"/>
    <n v="15"/>
    <x v="0"/>
    <x v="0"/>
    <n v="30"/>
    <x v="0"/>
    <n v="20"/>
    <n v="3"/>
    <n v="62"/>
    <x v="9"/>
    <n v="2024"/>
  </r>
  <r>
    <n v="3450"/>
    <s v="Helena Ferreira"/>
    <x v="2"/>
    <d v="2024-10-02T00:00:00"/>
    <x v="0"/>
    <n v="10"/>
    <x v="1"/>
    <x v="1"/>
    <s v="-"/>
    <x v="0"/>
    <n v="20"/>
    <n v="15"/>
    <n v="15"/>
    <x v="9"/>
    <n v="2024"/>
  </r>
  <r>
    <n v="3451"/>
    <s v="Ígor Nunes"/>
    <x v="1"/>
    <d v="2024-10-03T00:00:00"/>
    <x v="1"/>
    <n v="5"/>
    <x v="0"/>
    <x v="1"/>
    <s v="-"/>
    <x v="1"/>
    <n v="0"/>
    <n v="1"/>
    <n v="4"/>
    <x v="9"/>
    <n v="2024"/>
  </r>
  <r>
    <n v="3452"/>
    <s v="Joana Silveira"/>
    <x v="0"/>
    <d v="2024-10-04T00:00:00"/>
    <x v="0"/>
    <n v="15"/>
    <x v="2"/>
    <x v="0"/>
    <n v="30"/>
    <x v="0"/>
    <n v="20"/>
    <n v="7"/>
    <n v="58"/>
    <x v="9"/>
    <n v="2024"/>
  </r>
  <r>
    <n v="3453"/>
    <s v="Kléber Oliveira"/>
    <x v="2"/>
    <d v="2024-10-05T00:00:00"/>
    <x v="1"/>
    <n v="10"/>
    <x v="0"/>
    <x v="1"/>
    <s v="-"/>
    <x v="0"/>
    <n v="20"/>
    <n v="10"/>
    <n v="20"/>
    <x v="9"/>
    <n v="2024"/>
  </r>
  <r>
    <n v="3454"/>
    <s v="Luciana Morais"/>
    <x v="1"/>
    <d v="2024-10-06T00:00:00"/>
    <x v="0"/>
    <n v="5"/>
    <x v="1"/>
    <x v="1"/>
    <s v="-"/>
    <x v="1"/>
    <n v="0"/>
    <n v="0"/>
    <n v="5"/>
    <x v="9"/>
    <n v="2024"/>
  </r>
  <r>
    <n v="3455"/>
    <s v="Marcos Vinícius"/>
    <x v="0"/>
    <d v="2024-10-07T00:00:00"/>
    <x v="1"/>
    <n v="15"/>
    <x v="0"/>
    <x v="0"/>
    <n v="30"/>
    <x v="0"/>
    <n v="20"/>
    <n v="20"/>
    <n v="45"/>
    <x v="9"/>
    <n v="2024"/>
  </r>
  <r>
    <n v="3456"/>
    <s v="Natália Barros"/>
    <x v="2"/>
    <d v="2024-10-08T00:00:00"/>
    <x v="0"/>
    <n v="10"/>
    <x v="2"/>
    <x v="1"/>
    <s v="-"/>
    <x v="0"/>
    <n v="20"/>
    <n v="15"/>
    <n v="15"/>
    <x v="9"/>
    <n v="2024"/>
  </r>
  <r>
    <n v="3457"/>
    <s v="Oscar Sampaio"/>
    <x v="1"/>
    <d v="2024-10-09T00:00:00"/>
    <x v="1"/>
    <n v="5"/>
    <x v="0"/>
    <x v="1"/>
    <s v="-"/>
    <x v="1"/>
    <n v="0"/>
    <n v="1"/>
    <n v="4"/>
    <x v="9"/>
    <n v="2024"/>
  </r>
  <r>
    <n v="3458"/>
    <s v="Patrícia Leite"/>
    <x v="0"/>
    <d v="2024-10-10T00:00:00"/>
    <x v="0"/>
    <n v="15"/>
    <x v="1"/>
    <x v="0"/>
    <n v="30"/>
    <x v="0"/>
    <n v="20"/>
    <n v="3"/>
    <n v="62"/>
    <x v="9"/>
    <n v="2024"/>
  </r>
  <r>
    <n v="3459"/>
    <s v="Quênia Rocha"/>
    <x v="2"/>
    <d v="2024-10-11T00:00:00"/>
    <x v="1"/>
    <n v="10"/>
    <x v="0"/>
    <x v="1"/>
    <s v="-"/>
    <x v="0"/>
    <n v="20"/>
    <n v="10"/>
    <n v="20"/>
    <x v="9"/>
    <n v="2024"/>
  </r>
  <r>
    <n v="3460"/>
    <s v="Rafael Torres"/>
    <x v="1"/>
    <d v="2024-10-12T00:00:00"/>
    <x v="0"/>
    <n v="5"/>
    <x v="2"/>
    <x v="1"/>
    <s v="-"/>
    <x v="1"/>
    <n v="0"/>
    <n v="0"/>
    <n v="5"/>
    <x v="9"/>
    <n v="2024"/>
  </r>
  <r>
    <n v="3461"/>
    <s v="Sandra Gouveia"/>
    <x v="0"/>
    <d v="2024-10-13T00:00:00"/>
    <x v="1"/>
    <n v="15"/>
    <x v="0"/>
    <x v="0"/>
    <n v="30"/>
    <x v="0"/>
    <n v="20"/>
    <n v="15"/>
    <n v="50"/>
    <x v="9"/>
    <n v="2024"/>
  </r>
  <r>
    <n v="3462"/>
    <s v="Tiago Lacerda"/>
    <x v="2"/>
    <d v="2024-10-14T00:00:00"/>
    <x v="0"/>
    <n v="10"/>
    <x v="1"/>
    <x v="1"/>
    <s v="-"/>
    <x v="0"/>
    <n v="20"/>
    <n v="15"/>
    <n v="15"/>
    <x v="9"/>
    <n v="2024"/>
  </r>
  <r>
    <n v="3463"/>
    <s v="Ursula Fonseca"/>
    <x v="1"/>
    <d v="2024-10-15T00:00:00"/>
    <x v="1"/>
    <n v="5"/>
    <x v="0"/>
    <x v="1"/>
    <s v="-"/>
    <x v="1"/>
    <n v="0"/>
    <n v="1"/>
    <n v="4"/>
    <x v="9"/>
    <n v="2024"/>
  </r>
  <r>
    <n v="3464"/>
    <s v="Vanessa Andrade"/>
    <x v="0"/>
    <d v="2024-10-16T00:00:00"/>
    <x v="0"/>
    <n v="15"/>
    <x v="2"/>
    <x v="0"/>
    <n v="30"/>
    <x v="0"/>
    <n v="20"/>
    <n v="7"/>
    <n v="58"/>
    <x v="9"/>
    <n v="2024"/>
  </r>
  <r>
    <n v="3465"/>
    <s v="William Castro"/>
    <x v="2"/>
    <d v="2024-10-17T00:00:00"/>
    <x v="1"/>
    <n v="10"/>
    <x v="0"/>
    <x v="1"/>
    <s v="-"/>
    <x v="0"/>
    <n v="20"/>
    <n v="10"/>
    <n v="20"/>
    <x v="9"/>
    <n v="2024"/>
  </r>
  <r>
    <n v="3466"/>
    <s v="Xavier Monteiro"/>
    <x v="1"/>
    <d v="2024-10-18T00:00:00"/>
    <x v="0"/>
    <n v="5"/>
    <x v="1"/>
    <x v="1"/>
    <s v="-"/>
    <x v="1"/>
    <n v="0"/>
    <n v="0"/>
    <n v="5"/>
    <x v="9"/>
    <n v="2024"/>
  </r>
  <r>
    <n v="3467"/>
    <s v="Yasmin Figueira"/>
    <x v="0"/>
    <d v="2024-10-19T00:00:00"/>
    <x v="1"/>
    <n v="15"/>
    <x v="0"/>
    <x v="0"/>
    <n v="30"/>
    <x v="0"/>
    <n v="20"/>
    <n v="15"/>
    <n v="50"/>
    <x v="9"/>
    <n v="2024"/>
  </r>
  <r>
    <n v="3468"/>
    <s v="Zacarias Mendonça"/>
    <x v="2"/>
    <d v="2024-10-20T00:00:00"/>
    <x v="0"/>
    <n v="10"/>
    <x v="2"/>
    <x v="1"/>
    <s v="-"/>
    <x v="0"/>
    <n v="20"/>
    <n v="12"/>
    <n v="18"/>
    <x v="9"/>
    <n v="2024"/>
  </r>
  <r>
    <n v="3469"/>
    <s v="Amanda Menezes"/>
    <x v="1"/>
    <d v="2024-10-21T00:00:00"/>
    <x v="1"/>
    <n v="5"/>
    <x v="0"/>
    <x v="1"/>
    <s v="-"/>
    <x v="1"/>
    <n v="0"/>
    <n v="2"/>
    <n v="3"/>
    <x v="9"/>
    <n v="2024"/>
  </r>
  <r>
    <n v="3470"/>
    <s v="Bruno Santos"/>
    <x v="0"/>
    <d v="2024-10-22T00:00:00"/>
    <x v="0"/>
    <n v="15"/>
    <x v="1"/>
    <x v="0"/>
    <n v="30"/>
    <x v="0"/>
    <n v="20"/>
    <n v="5"/>
    <n v="60"/>
    <x v="9"/>
    <n v="2024"/>
  </r>
  <r>
    <n v="3471"/>
    <s v="Carla Ferreira"/>
    <x v="2"/>
    <d v="2024-10-23T00:00:00"/>
    <x v="1"/>
    <n v="10"/>
    <x v="0"/>
    <x v="1"/>
    <s v="-"/>
    <x v="0"/>
    <n v="20"/>
    <n v="10"/>
    <n v="20"/>
    <x v="9"/>
    <n v="2024"/>
  </r>
  <r>
    <n v="3472"/>
    <s v="Diogo Alves"/>
    <x v="1"/>
    <d v="2024-10-24T00:00:00"/>
    <x v="0"/>
    <n v="5"/>
    <x v="2"/>
    <x v="1"/>
    <s v="-"/>
    <x v="1"/>
    <n v="0"/>
    <n v="0"/>
    <n v="5"/>
    <x v="9"/>
    <n v="2024"/>
  </r>
  <r>
    <n v="3473"/>
    <s v="Elisa Neves"/>
    <x v="0"/>
    <d v="2024-10-25T00:00:00"/>
    <x v="1"/>
    <n v="15"/>
    <x v="0"/>
    <x v="0"/>
    <n v="30"/>
    <x v="0"/>
    <n v="20"/>
    <n v="3"/>
    <n v="62"/>
    <x v="9"/>
    <n v="2024"/>
  </r>
  <r>
    <n v="3474"/>
    <s v="Fabiano Pires"/>
    <x v="2"/>
    <d v="2024-10-26T00:00:00"/>
    <x v="0"/>
    <n v="10"/>
    <x v="1"/>
    <x v="1"/>
    <s v="-"/>
    <x v="0"/>
    <n v="20"/>
    <n v="15"/>
    <n v="15"/>
    <x v="9"/>
    <n v="2024"/>
  </r>
  <r>
    <n v="3475"/>
    <s v="Giovana Ribeiro"/>
    <x v="1"/>
    <d v="2024-10-27T00:00:00"/>
    <x v="1"/>
    <n v="5"/>
    <x v="0"/>
    <x v="1"/>
    <s v="-"/>
    <x v="1"/>
    <n v="0"/>
    <n v="1"/>
    <n v="4"/>
    <x v="9"/>
    <n v="2024"/>
  </r>
  <r>
    <n v="3476"/>
    <s v="Hélio Costa"/>
    <x v="0"/>
    <d v="2024-10-28T00:00:00"/>
    <x v="0"/>
    <n v="15"/>
    <x v="2"/>
    <x v="0"/>
    <n v="30"/>
    <x v="0"/>
    <n v="20"/>
    <n v="7"/>
    <n v="58"/>
    <x v="9"/>
    <n v="2024"/>
  </r>
  <r>
    <n v="3477"/>
    <s v="Íris Loureiro"/>
    <x v="2"/>
    <d v="2024-10-29T00:00:00"/>
    <x v="1"/>
    <n v="10"/>
    <x v="0"/>
    <x v="1"/>
    <s v="-"/>
    <x v="0"/>
    <n v="20"/>
    <n v="10"/>
    <n v="20"/>
    <x v="9"/>
    <n v="2024"/>
  </r>
  <r>
    <n v="3478"/>
    <s v="João Pereira"/>
    <x v="1"/>
    <d v="2024-10-30T00:00:00"/>
    <x v="0"/>
    <n v="5"/>
    <x v="1"/>
    <x v="1"/>
    <s v="-"/>
    <x v="1"/>
    <n v="0"/>
    <n v="0"/>
    <n v="5"/>
    <x v="9"/>
    <n v="2024"/>
  </r>
  <r>
    <n v="3479"/>
    <s v="Klara Silva"/>
    <x v="0"/>
    <d v="2024-10-31T00:00:00"/>
    <x v="1"/>
    <n v="15"/>
    <x v="0"/>
    <x v="0"/>
    <n v="30"/>
    <x v="0"/>
    <n v="20"/>
    <n v="20"/>
    <n v="45"/>
    <x v="9"/>
    <n v="2024"/>
  </r>
  <r>
    <n v="3480"/>
    <s v="Luciana Barros"/>
    <x v="2"/>
    <d v="2024-11-01T00:00:00"/>
    <x v="0"/>
    <n v="10"/>
    <x v="2"/>
    <x v="1"/>
    <s v="-"/>
    <x v="0"/>
    <n v="20"/>
    <n v="15"/>
    <n v="15"/>
    <x v="10"/>
    <n v="2024"/>
  </r>
  <r>
    <n v="3481"/>
    <s v="Marcos Gomes"/>
    <x v="1"/>
    <d v="2024-11-02T00:00:00"/>
    <x v="1"/>
    <n v="5"/>
    <x v="0"/>
    <x v="1"/>
    <s v="-"/>
    <x v="1"/>
    <n v="0"/>
    <n v="1"/>
    <n v="4"/>
    <x v="10"/>
    <n v="2024"/>
  </r>
  <r>
    <n v="3482"/>
    <s v="Natália Soares"/>
    <x v="0"/>
    <d v="2024-11-03T00:00:00"/>
    <x v="0"/>
    <n v="15"/>
    <x v="1"/>
    <x v="0"/>
    <n v="30"/>
    <x v="0"/>
    <n v="20"/>
    <n v="3"/>
    <n v="62"/>
    <x v="10"/>
    <n v="2024"/>
  </r>
  <r>
    <n v="3483"/>
    <s v="Oscar Machado"/>
    <x v="2"/>
    <d v="2024-11-04T00:00:00"/>
    <x v="1"/>
    <n v="10"/>
    <x v="0"/>
    <x v="1"/>
    <s v="-"/>
    <x v="0"/>
    <n v="20"/>
    <n v="10"/>
    <n v="20"/>
    <x v="10"/>
    <n v="2024"/>
  </r>
  <r>
    <n v="3484"/>
    <s v="Patrícia Lima"/>
    <x v="1"/>
    <d v="2024-11-05T00:00:00"/>
    <x v="0"/>
    <n v="5"/>
    <x v="2"/>
    <x v="1"/>
    <s v="-"/>
    <x v="1"/>
    <n v="0"/>
    <n v="0"/>
    <n v="5"/>
    <x v="10"/>
    <n v="2024"/>
  </r>
  <r>
    <n v="3485"/>
    <s v="Quirino Neto"/>
    <x v="0"/>
    <d v="2024-11-06T00:00:00"/>
    <x v="1"/>
    <n v="15"/>
    <x v="0"/>
    <x v="0"/>
    <n v="30"/>
    <x v="0"/>
    <n v="20"/>
    <n v="15"/>
    <n v="50"/>
    <x v="10"/>
    <n v="2024"/>
  </r>
  <r>
    <n v="3486"/>
    <s v="Rafaela Souza"/>
    <x v="1"/>
    <d v="2024-11-07T00:00:00"/>
    <x v="0"/>
    <n v="5"/>
    <x v="0"/>
    <x v="1"/>
    <s v="-"/>
    <x v="1"/>
    <n v="0"/>
    <n v="0"/>
    <n v="5"/>
    <x v="10"/>
    <n v="2024"/>
  </r>
  <r>
    <n v="3487"/>
    <s v="Sandro Almeida"/>
    <x v="0"/>
    <d v="2024-11-08T00:00:00"/>
    <x v="1"/>
    <n v="15"/>
    <x v="2"/>
    <x v="0"/>
    <n v="30"/>
    <x v="0"/>
    <n v="20"/>
    <n v="7"/>
    <n v="58"/>
    <x v="10"/>
    <n v="2024"/>
  </r>
  <r>
    <n v="3488"/>
    <s v="Tânia Ribeiro"/>
    <x v="2"/>
    <d v="2024-11-09T00:00:00"/>
    <x v="0"/>
    <n v="10"/>
    <x v="1"/>
    <x v="1"/>
    <s v="-"/>
    <x v="0"/>
    <n v="20"/>
    <n v="10"/>
    <n v="20"/>
    <x v="10"/>
    <n v="2024"/>
  </r>
  <r>
    <n v="3489"/>
    <s v="Ugo Dias"/>
    <x v="1"/>
    <d v="2024-11-10T00:00:00"/>
    <x v="1"/>
    <n v="5"/>
    <x v="2"/>
    <x v="1"/>
    <s v="-"/>
    <x v="1"/>
    <n v="0"/>
    <n v="1"/>
    <n v="4"/>
    <x v="10"/>
    <n v="2024"/>
  </r>
  <r>
    <n v="3490"/>
    <s v="Valéria Lima"/>
    <x v="0"/>
    <d v="2024-11-11T00:00:00"/>
    <x v="0"/>
    <n v="15"/>
    <x v="0"/>
    <x v="0"/>
    <n v="30"/>
    <x v="0"/>
    <n v="20"/>
    <n v="15"/>
    <n v="50"/>
    <x v="10"/>
    <n v="2024"/>
  </r>
  <r>
    <n v="3491"/>
    <s v="William Fernandes"/>
    <x v="2"/>
    <d v="2024-11-12T00:00:00"/>
    <x v="1"/>
    <n v="10"/>
    <x v="0"/>
    <x v="1"/>
    <s v="-"/>
    <x v="0"/>
    <n v="20"/>
    <n v="5"/>
    <n v="25"/>
    <x v="10"/>
    <n v="2024"/>
  </r>
  <r>
    <n v="3492"/>
    <s v="Xuxa Mendes"/>
    <x v="1"/>
    <d v="2024-11-13T00:00:00"/>
    <x v="0"/>
    <n v="5"/>
    <x v="1"/>
    <x v="1"/>
    <s v="-"/>
    <x v="1"/>
    <n v="0"/>
    <n v="0"/>
    <n v="5"/>
    <x v="10"/>
    <n v="2024"/>
  </r>
  <r>
    <n v="3493"/>
    <s v="Ygor Farias"/>
    <x v="0"/>
    <d v="2024-11-14T00:00:00"/>
    <x v="1"/>
    <n v="15"/>
    <x v="2"/>
    <x v="0"/>
    <n v="30"/>
    <x v="0"/>
    <n v="20"/>
    <n v="20"/>
    <n v="45"/>
    <x v="10"/>
    <n v="2024"/>
  </r>
  <r>
    <n v="3494"/>
    <s v="Zilda Barros"/>
    <x v="2"/>
    <d v="2024-11-15T00:00:00"/>
    <x v="0"/>
    <n v="10"/>
    <x v="2"/>
    <x v="1"/>
    <s v="-"/>
    <x v="0"/>
    <n v="20"/>
    <n v="12"/>
    <n v="18"/>
    <x v="10"/>
    <n v="2024"/>
  </r>
  <r>
    <n v="3495"/>
    <s v="Amanda Santos"/>
    <x v="1"/>
    <d v="2024-11-16T00:00:00"/>
    <x v="1"/>
    <n v="5"/>
    <x v="0"/>
    <x v="1"/>
    <s v="-"/>
    <x v="1"/>
    <n v="0"/>
    <n v="2"/>
    <n v="3"/>
    <x v="10"/>
    <n v="2024"/>
  </r>
  <r>
    <n v="3496"/>
    <s v="Bruno Costa"/>
    <x v="0"/>
    <d v="2024-11-17T00:00:00"/>
    <x v="0"/>
    <n v="15"/>
    <x v="1"/>
    <x v="0"/>
    <n v="30"/>
    <x v="0"/>
    <n v="20"/>
    <n v="5"/>
    <n v="60"/>
    <x v="10"/>
    <n v="2024"/>
  </r>
  <r>
    <n v="3497"/>
    <s v="Carla Rodrigues"/>
    <x v="2"/>
    <d v="2024-11-18T00:00:00"/>
    <x v="1"/>
    <n v="10"/>
    <x v="0"/>
    <x v="1"/>
    <s v="-"/>
    <x v="0"/>
    <n v="20"/>
    <n v="10"/>
    <n v="20"/>
    <x v="10"/>
    <n v="2024"/>
  </r>
  <r>
    <n v="3498"/>
    <s v="Diogo Pereira"/>
    <x v="1"/>
    <d v="2024-11-19T00:00:00"/>
    <x v="0"/>
    <n v="5"/>
    <x v="2"/>
    <x v="1"/>
    <s v="-"/>
    <x v="1"/>
    <n v="0"/>
    <n v="0"/>
    <n v="5"/>
    <x v="10"/>
    <n v="2024"/>
  </r>
  <r>
    <n v="3499"/>
    <s v="Elisa Correia"/>
    <x v="0"/>
    <d v="2024-11-20T00:00:00"/>
    <x v="1"/>
    <n v="15"/>
    <x v="0"/>
    <x v="0"/>
    <n v="30"/>
    <x v="0"/>
    <n v="20"/>
    <n v="3"/>
    <n v="62"/>
    <x v="10"/>
    <n v="2024"/>
  </r>
  <r>
    <n v="3500"/>
    <s v="Fábio Lourenço"/>
    <x v="2"/>
    <d v="2024-11-21T00:00:00"/>
    <x v="0"/>
    <n v="10"/>
    <x v="1"/>
    <x v="1"/>
    <s v="-"/>
    <x v="0"/>
    <n v="20"/>
    <n v="15"/>
    <n v="15"/>
    <x v="10"/>
    <n v="2024"/>
  </r>
  <r>
    <n v="3501"/>
    <s v="Gabriela Neves"/>
    <x v="1"/>
    <d v="2024-11-22T00:00:00"/>
    <x v="1"/>
    <n v="5"/>
    <x v="0"/>
    <x v="1"/>
    <s v="-"/>
    <x v="1"/>
    <n v="0"/>
    <n v="1"/>
    <n v="4"/>
    <x v="10"/>
    <n v="2024"/>
  </r>
  <r>
    <n v="3502"/>
    <s v="Henrique Gonçalves"/>
    <x v="0"/>
    <d v="2024-11-23T00:00:00"/>
    <x v="0"/>
    <n v="15"/>
    <x v="2"/>
    <x v="0"/>
    <n v="30"/>
    <x v="0"/>
    <n v="20"/>
    <n v="7"/>
    <n v="58"/>
    <x v="10"/>
    <n v="2024"/>
  </r>
  <r>
    <n v="3503"/>
    <s v="Íris Santos"/>
    <x v="2"/>
    <d v="2024-11-24T00:00:00"/>
    <x v="1"/>
    <n v="10"/>
    <x v="0"/>
    <x v="1"/>
    <s v="-"/>
    <x v="0"/>
    <n v="20"/>
    <n v="10"/>
    <n v="20"/>
    <x v="10"/>
    <n v="2024"/>
  </r>
  <r>
    <n v="3504"/>
    <s v="João Marcelo Alves"/>
    <x v="1"/>
    <d v="2024-11-25T00:00:00"/>
    <x v="0"/>
    <n v="5"/>
    <x v="1"/>
    <x v="1"/>
    <s v="-"/>
    <x v="1"/>
    <n v="0"/>
    <n v="0"/>
    <n v="5"/>
    <x v="10"/>
    <n v="2024"/>
  </r>
  <r>
    <n v="3505"/>
    <s v="Klara Fonseca"/>
    <x v="0"/>
    <d v="2024-11-26T00:00:00"/>
    <x v="1"/>
    <n v="15"/>
    <x v="0"/>
    <x v="0"/>
    <n v="30"/>
    <x v="0"/>
    <n v="20"/>
    <n v="20"/>
    <n v="45"/>
    <x v="10"/>
    <n v="2024"/>
  </r>
  <r>
    <n v="3506"/>
    <s v="Lucas Mendonça"/>
    <x v="2"/>
    <d v="2024-11-27T00:00:00"/>
    <x v="0"/>
    <n v="10"/>
    <x v="2"/>
    <x v="1"/>
    <s v="-"/>
    <x v="0"/>
    <n v="20"/>
    <n v="15"/>
    <n v="15"/>
    <x v="10"/>
    <n v="2024"/>
  </r>
  <r>
    <n v="3507"/>
    <s v="Marcela Torres"/>
    <x v="1"/>
    <d v="2024-11-28T00:00:00"/>
    <x v="1"/>
    <n v="5"/>
    <x v="0"/>
    <x v="1"/>
    <s v="-"/>
    <x v="1"/>
    <n v="0"/>
    <n v="1"/>
    <n v="4"/>
    <x v="10"/>
    <n v="2024"/>
  </r>
  <r>
    <n v="3508"/>
    <s v="Natália Castro"/>
    <x v="0"/>
    <d v="2024-11-29T00:00:00"/>
    <x v="0"/>
    <n v="15"/>
    <x v="1"/>
    <x v="0"/>
    <n v="30"/>
    <x v="0"/>
    <n v="20"/>
    <n v="3"/>
    <n v="62"/>
    <x v="10"/>
    <n v="2024"/>
  </r>
  <r>
    <n v="3509"/>
    <s v="Oscar Martins"/>
    <x v="2"/>
    <d v="2024-11-30T00:00:00"/>
    <x v="1"/>
    <n v="10"/>
    <x v="0"/>
    <x v="1"/>
    <s v="-"/>
    <x v="0"/>
    <n v="20"/>
    <n v="10"/>
    <n v="20"/>
    <x v="10"/>
    <n v="2024"/>
  </r>
  <r>
    <n v="3510"/>
    <s v="Patrícia Oliveira"/>
    <x v="1"/>
    <d v="2024-12-01T00:00:00"/>
    <x v="0"/>
    <n v="5"/>
    <x v="2"/>
    <x v="1"/>
    <s v="-"/>
    <x v="1"/>
    <n v="0"/>
    <n v="0"/>
    <n v="5"/>
    <x v="11"/>
    <n v="2024"/>
  </r>
  <r>
    <n v="3511"/>
    <s v="Quentin Nogueira"/>
    <x v="0"/>
    <d v="2024-12-02T00:00:00"/>
    <x v="1"/>
    <n v="15"/>
    <x v="0"/>
    <x v="0"/>
    <n v="30"/>
    <x v="0"/>
    <n v="20"/>
    <n v="15"/>
    <n v="50"/>
    <x v="11"/>
    <n v="2024"/>
  </r>
  <r>
    <n v="3512"/>
    <s v="Raquel Silva"/>
    <x v="2"/>
    <d v="2024-12-03T00:00:00"/>
    <x v="0"/>
    <n v="10"/>
    <x v="1"/>
    <x v="1"/>
    <s v="-"/>
    <x v="0"/>
    <n v="20"/>
    <n v="15"/>
    <n v="15"/>
    <x v="11"/>
    <n v="2024"/>
  </r>
  <r>
    <n v="3513"/>
    <s v="Sandro Gomes"/>
    <x v="1"/>
    <d v="2024-12-04T00:00:00"/>
    <x v="1"/>
    <n v="5"/>
    <x v="0"/>
    <x v="1"/>
    <s v="-"/>
    <x v="1"/>
    <n v="0"/>
    <n v="1"/>
    <n v="4"/>
    <x v="11"/>
    <n v="2024"/>
  </r>
  <r>
    <n v="3514"/>
    <s v="Tânia Machado"/>
    <x v="0"/>
    <d v="2024-12-05T00:00:00"/>
    <x v="0"/>
    <n v="15"/>
    <x v="2"/>
    <x v="0"/>
    <n v="30"/>
    <x v="0"/>
    <n v="20"/>
    <n v="7"/>
    <n v="58"/>
    <x v="11"/>
    <n v="2024"/>
  </r>
  <r>
    <n v="3515"/>
    <s v="Ursula Silva"/>
    <x v="2"/>
    <d v="2024-12-06T00:00:00"/>
    <x v="1"/>
    <n v="10"/>
    <x v="0"/>
    <x v="1"/>
    <s v="-"/>
    <x v="0"/>
    <n v="20"/>
    <n v="10"/>
    <n v="20"/>
    <x v="11"/>
    <n v="2024"/>
  </r>
  <r>
    <n v="3516"/>
    <s v="Vanessa Moraes"/>
    <x v="1"/>
    <d v="2024-12-07T00:00:00"/>
    <x v="0"/>
    <n v="5"/>
    <x v="1"/>
    <x v="1"/>
    <s v="-"/>
    <x v="1"/>
    <n v="0"/>
    <n v="0"/>
    <n v="5"/>
    <x v="11"/>
    <n v="2024"/>
  </r>
  <r>
    <n v="3517"/>
    <s v="William Carvalho"/>
    <x v="0"/>
    <d v="2024-12-08T00:00:00"/>
    <x v="1"/>
    <n v="15"/>
    <x v="0"/>
    <x v="0"/>
    <n v="30"/>
    <x v="0"/>
    <n v="20"/>
    <n v="20"/>
    <n v="45"/>
    <x v="11"/>
    <n v="2024"/>
  </r>
  <r>
    <n v="3518"/>
    <s v="Xavier Reis"/>
    <x v="2"/>
    <d v="2024-12-09T00:00:00"/>
    <x v="0"/>
    <n v="10"/>
    <x v="2"/>
    <x v="1"/>
    <s v="-"/>
    <x v="0"/>
    <n v="20"/>
    <n v="12"/>
    <n v="18"/>
    <x v="11"/>
    <n v="2024"/>
  </r>
  <r>
    <n v="3519"/>
    <s v="Yasmin Rocha"/>
    <x v="1"/>
    <d v="2024-12-10T00:00:00"/>
    <x v="1"/>
    <n v="5"/>
    <x v="0"/>
    <x v="1"/>
    <s v="-"/>
    <x v="1"/>
    <n v="0"/>
    <n v="2"/>
    <n v="3"/>
    <x v="11"/>
    <n v="2024"/>
  </r>
  <r>
    <n v="3520"/>
    <s v="Zacarias Duarte"/>
    <x v="0"/>
    <d v="2024-12-11T00:00:00"/>
    <x v="0"/>
    <n v="15"/>
    <x v="1"/>
    <x v="0"/>
    <n v="30"/>
    <x v="0"/>
    <n v="20"/>
    <n v="5"/>
    <n v="60"/>
    <x v="11"/>
    <n v="2024"/>
  </r>
  <r>
    <n v="3521"/>
    <s v="Amanda Freitas"/>
    <x v="2"/>
    <d v="2024-12-12T00:00:00"/>
    <x v="1"/>
    <n v="10"/>
    <x v="0"/>
    <x v="1"/>
    <s v="-"/>
    <x v="0"/>
    <n v="20"/>
    <n v="10"/>
    <n v="20"/>
    <x v="11"/>
    <n v="2024"/>
  </r>
  <r>
    <n v="3522"/>
    <s v="Bruno Almeida"/>
    <x v="1"/>
    <d v="2024-12-13T00:00:00"/>
    <x v="0"/>
    <n v="5"/>
    <x v="2"/>
    <x v="1"/>
    <s v="-"/>
    <x v="1"/>
    <n v="0"/>
    <n v="0"/>
    <n v="5"/>
    <x v="11"/>
    <n v="2024"/>
  </r>
  <r>
    <n v="3523"/>
    <s v="Carla Siqueira"/>
    <x v="0"/>
    <d v="2024-12-14T00:00:00"/>
    <x v="1"/>
    <n v="15"/>
    <x v="0"/>
    <x v="0"/>
    <n v="30"/>
    <x v="0"/>
    <n v="20"/>
    <n v="3"/>
    <n v="62"/>
    <x v="11"/>
    <n v="2024"/>
  </r>
  <r>
    <n v="3524"/>
    <s v="Diogo Ramos"/>
    <x v="2"/>
    <d v="2024-12-15T00:00:00"/>
    <x v="0"/>
    <n v="10"/>
    <x v="1"/>
    <x v="1"/>
    <s v="-"/>
    <x v="0"/>
    <n v="20"/>
    <n v="15"/>
    <n v="15"/>
    <x v="11"/>
    <n v="2024"/>
  </r>
  <r>
    <n v="3525"/>
    <s v="Elisa Magalhães"/>
    <x v="1"/>
    <d v="2024-12-16T00:00:00"/>
    <x v="1"/>
    <n v="5"/>
    <x v="0"/>
    <x v="1"/>
    <s v="-"/>
    <x v="1"/>
    <n v="0"/>
    <n v="1"/>
    <n v="4"/>
    <x v="11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79057-918A-4EBA-BF9A-A5C21D10C88F}" name="PT_Master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K134" firstHeaderRow="0" firstDataRow="1" firstDataCol="6"/>
  <pivotFields count="1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6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3"/>
    <field x="2"/>
    <field x="4"/>
    <field x="6"/>
    <field x="7"/>
    <field x="9"/>
  </rowFields>
  <rowItems count="129">
    <i>
      <x/>
      <x/>
      <x/>
      <x/>
      <x/>
      <x/>
    </i>
    <i r="1">
      <x v="2"/>
      <x v="1"/>
      <x v="1"/>
      <x v="1"/>
      <x v="1"/>
    </i>
    <i>
      <x v="1"/>
      <x v="1"/>
      <x v="1"/>
      <x v="2"/>
      <x/>
      <x v="1"/>
    </i>
    <i r="1">
      <x v="2"/>
      <x/>
      <x v="1"/>
      <x v="1"/>
      <x v="1"/>
    </i>
    <i>
      <x v="2"/>
      <x/>
      <x/>
      <x v="1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2">
      <x v="1"/>
      <x/>
      <x v="1"/>
      <x v="1"/>
    </i>
    <i r="3">
      <x v="2"/>
      <x v="1"/>
      <x v="1"/>
    </i>
    <i>
      <x v="3"/>
      <x/>
      <x/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4"/>
      <x/>
      <x/>
      <x/>
      <x/>
      <x/>
    </i>
    <i r="3">
      <x v="1"/>
      <x/>
      <x/>
    </i>
    <i r="3">
      <x v="2"/>
      <x/>
      <x/>
    </i>
    <i r="2">
      <x v="1"/>
      <x v="1"/>
      <x/>
      <x/>
    </i>
    <i r="3">
      <x v="2"/>
      <x/>
      <x/>
    </i>
    <i r="1">
      <x v="1"/>
      <x/>
      <x/>
      <x/>
      <x v="1"/>
    </i>
    <i r="3">
      <x v="2"/>
      <x/>
      <x v="1"/>
    </i>
    <i r="2">
      <x v="1"/>
      <x v="1"/>
      <x/>
      <x v="1"/>
    </i>
    <i r="3">
      <x v="2"/>
      <x/>
      <x v="1"/>
    </i>
    <i r="1">
      <x v="2"/>
      <x/>
      <x/>
      <x v="1"/>
      <x v="1"/>
    </i>
    <i r="3">
      <x v="1"/>
      <x v="1"/>
      <x v="1"/>
    </i>
    <i r="3">
      <x v="2"/>
      <x v="1"/>
      <x v="1"/>
    </i>
    <i r="2">
      <x v="1"/>
      <x v="1"/>
      <x v="1"/>
      <x v="1"/>
    </i>
    <i r="3">
      <x v="2"/>
      <x v="1"/>
      <x v="1"/>
    </i>
    <i>
      <x v="5"/>
      <x/>
      <x/>
      <x/>
      <x/>
      <x/>
    </i>
    <i r="3"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/>
      <x/>
      <x v="1"/>
    </i>
    <i r="3">
      <x v="1"/>
      <x/>
      <x v="1"/>
    </i>
    <i r="3">
      <x v="2"/>
      <x/>
      <x v="1"/>
    </i>
    <i r="2">
      <x v="1"/>
      <x/>
      <x/>
      <x v="1"/>
    </i>
    <i r="3">
      <x v="1"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6"/>
      <x/>
      <x/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7"/>
      <x/>
      <x/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8"/>
      <x/>
      <x/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9"/>
      <x/>
      <x/>
      <x v="1"/>
      <x/>
      <x/>
    </i>
    <i r="2">
      <x v="1"/>
      <x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2">
      <x v="1"/>
      <x/>
      <x v="1"/>
      <x v="1"/>
    </i>
    <i r="3">
      <x v="2"/>
      <x v="1"/>
      <x v="1"/>
    </i>
    <i>
      <x v="10"/>
      <x/>
      <x/>
      <x v="1"/>
      <x/>
      <x/>
    </i>
    <i r="3">
      <x v="2"/>
      <x/>
      <x/>
    </i>
    <i r="2">
      <x v="1"/>
      <x/>
      <x/>
      <x/>
    </i>
    <i r="3">
      <x v="1"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3">
      <x v="2"/>
      <x v="1"/>
      <x v="1"/>
    </i>
    <i r="2">
      <x v="1"/>
      <x/>
      <x v="1"/>
      <x v="1"/>
    </i>
    <i r="3">
      <x v="1"/>
      <x v="1"/>
      <x v="1"/>
    </i>
    <i r="3">
      <x v="2"/>
      <x v="1"/>
      <x v="1"/>
    </i>
    <i>
      <x v="11"/>
      <x/>
      <x/>
      <x v="1"/>
      <x/>
      <x/>
    </i>
    <i r="2">
      <x v="1"/>
      <x/>
      <x/>
      <x/>
    </i>
    <i r="3">
      <x v="2"/>
      <x/>
      <x/>
    </i>
    <i r="1">
      <x v="1"/>
      <x/>
      <x v="1"/>
      <x/>
      <x v="1"/>
    </i>
    <i r="2">
      <x v="1"/>
      <x/>
      <x/>
      <x v="1"/>
    </i>
    <i r="3">
      <x v="2"/>
      <x/>
      <x v="1"/>
    </i>
    <i r="1">
      <x v="2"/>
      <x/>
      <x v="1"/>
      <x v="1"/>
      <x v="1"/>
    </i>
    <i r="2">
      <x v="1"/>
      <x/>
      <x v="1"/>
      <x v="1"/>
    </i>
    <i r="3">
      <x v="2"/>
      <x v="1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Total Value" fld="12" baseField="0" baseItem="0" numFmtId="44"/>
    <dataField name="Contagem de Subscriber ID" fld="0" subtotal="count" baseField="0" baseItem="0"/>
    <dataField name="Soma de Coupon Value" fld="11" baseField="0" baseItem="0" numFmtId="44"/>
    <dataField name="Soma de EA Play Season Pass_x000a_Price" fld="8" baseField="0" baseItem="0"/>
    <dataField name="Soma de Minecraft Season Pass Price" fld="10" baseField="0" baseItem="0" numFmtId="44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B055EFFB-2185-4F1D-BD1B-2EC958884FC8}" sourceName="Plan">
  <pivotTables>
    <pivotTable tabId="7" name="PT_Master"/>
  </pivotTables>
  <data>
    <tabular pivotCacheId="764491861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91EBE8B-325E-4DB5-BC71-7F2B000694DE}" sourceName="Auto Renewal">
  <pivotTables>
    <pivotTable tabId="7" name="PT_Master"/>
  </pivotTables>
  <data>
    <tabular pivotCacheId="76449186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982AE6-576F-40A8-94CB-3D0F35BE32BB}" sourceName="Subscription Type">
  <pivotTables>
    <pivotTable tabId="7" name="PT_Master"/>
  </pivotTables>
  <data>
    <tabular pivotCacheId="764491861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FB642E85-C058-4420-94C4-05D4C7EFF7D2}" sourceName="EA Play Season Pass">
  <pivotTables>
    <pivotTable tabId="7" name="PT_Master"/>
  </pivotTables>
  <data>
    <tabular pivotCacheId="764491861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71C8D3B6-1E6B-4628-B9F5-3C1259EEBD61}" sourceName="Minecraft Season Pass">
  <pivotTables>
    <pivotTable tabId="7" name="PT_Master"/>
  </pivotTables>
  <data>
    <tabular pivotCacheId="76449186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ação Plano" xr10:uid="{316B5DCA-3252-4935-9146-31FE3CC6AEA6}" cache="SegmentaçãodeDados_Plan" caption="Plano" style="SlicerStyleLight6" rowHeight="257175"/>
  <slicer name="Segmentação Renovação" xr10:uid="{CE9037FF-2613-4A8A-AB1B-8ED1D1453AA3}" cache="SegmentaçãodeDados_Auto_Renewal" caption="Renovação automática" style="SlicerStyleLight6" rowHeight="257175"/>
  <slicer name="Segmentação Periodicidade" xr10:uid="{791CF8CD-20B7-4460-A240-841457753B5E}" cache="SegmentaçãodeDados_Subscription_Type" caption="Periodicidade" style="SlicerStyleLight6" rowHeight="257175"/>
  <slicer name="Segmentação EA" xr10:uid="{EF7DB2C0-D348-4CF3-B39C-3D753526D2C2}" cache="SegmentaçãodeDados_EA_Play_Season_Pass" caption="EA Play" style="SlicerStyleLight6" rowHeight="257175"/>
  <slicer name="Segmentação Minecraft" xr10:uid="{B5169EAC-A9BE-4B66-9F6F-5F3F3624AFC2}" cache="SegmentaçãodeDados_Minecraft_Season_Pass" caption="Minecraft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O296" totalsRowShown="0" dataDxfId="15">
  <autoFilter ref="A1:O296" xr:uid="{34E0E886-4200-4B36-97B3-63DB74FF40A0}"/>
  <tableColumns count="15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5"/>
    <tableColumn id="6" xr3:uid="{78B82374-9AA7-4E38-AE4F-78CDE6C83720}" name="Subscription Price" dataDxfId="3" dataCellStyle="Moeda"/>
    <tableColumn id="7" xr3:uid="{F2433F68-AF33-49D0-B1FB-19A396074EDE}" name="Subscription Type" dataDxfId="4"/>
    <tableColumn id="8" xr3:uid="{FD4D9C95-F6E5-4933-9068-A71FF7DF9343}" name="EA Play Season Pass" dataDxfId="2"/>
    <tableColumn id="13" xr3:uid="{978DD0D2-834E-4CE4-A39B-30976086932F}" name="EA Play Season Pass_x000a_Price" dataDxfId="0" dataCellStyle="Moeda"/>
    <tableColumn id="9" xr3:uid="{6E29F111-C395-4580-9DAD-3407D9E8B1A4}" name="Minecraft Season Pass" dataDxfId="1"/>
    <tableColumn id="10" xr3:uid="{EF544EAA-7F25-4FD5-A10E-8E62804DB9E3}" name="Minecraft Season Pass Price" dataDxfId="10" dataCellStyle="Moeda"/>
    <tableColumn id="11" xr3:uid="{7F6EB64A-1F07-4E48-9F0F-AC7D9DCD26F8}" name="Coupon Value" dataDxfId="9" dataCellStyle="Moeda"/>
    <tableColumn id="12" xr3:uid="{2B04ABC8-DE6F-426E-ADC0-D8AFC68CA58E}" name="Total Value" dataDxfId="8" dataCellStyle="Moeda"/>
    <tableColumn id="14" xr3:uid="{CBFBF5A3-5075-419C-BF11-0F7A641DB1F9}" name="Month Start" dataDxfId="7" dataCellStyle="Moeda">
      <calculatedColumnFormula>DATE(YEAR(Tabela1[[#This Row],[Start Date]]),MONTH(Tabela1[[#This Row],[Start Date]]),1)</calculatedColumnFormula>
    </tableColumn>
    <tableColumn id="15" xr3:uid="{B2B205EF-BA52-4190-9392-0A8E517134C7}" name="Year" dataDxfId="6" dataCellStyle="Moeda">
      <calculatedColumnFormula>YEAR(Tabela1[[#This Row],[Start Date]])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798C-1876-4051-BC41-B552E4949F11}">
  <dimension ref="A1:L38"/>
  <sheetViews>
    <sheetView showGridLines="0" topLeftCell="A13" workbookViewId="0">
      <selection activeCell="M6" sqref="M6"/>
    </sheetView>
  </sheetViews>
  <sheetFormatPr defaultRowHeight="15" x14ac:dyDescent="0.25"/>
  <cols>
    <col min="1" max="2" width="10.28515625" customWidth="1"/>
    <col min="3" max="10" width="13.7109375" customWidth="1"/>
    <col min="11" max="12" width="5.7109375" customWidth="1"/>
  </cols>
  <sheetData>
    <row r="1" spans="1:12" ht="24" customHeight="1" x14ac:dyDescent="0.25">
      <c r="A1" s="155" t="s">
        <v>347</v>
      </c>
      <c r="B1" s="155"/>
      <c r="C1" s="135" t="s">
        <v>415</v>
      </c>
      <c r="D1" s="135"/>
      <c r="E1" s="135"/>
      <c r="F1" s="135"/>
      <c r="G1" s="135"/>
      <c r="H1" s="135"/>
      <c r="I1" s="135"/>
      <c r="J1" s="135"/>
      <c r="K1" s="133"/>
      <c r="L1" s="133"/>
    </row>
    <row r="2" spans="1:12" ht="24" customHeight="1" x14ac:dyDescent="0.25">
      <c r="A2" s="155"/>
      <c r="B2" s="155"/>
      <c r="C2" s="135"/>
      <c r="D2" s="135"/>
      <c r="E2" s="135"/>
      <c r="F2" s="135"/>
      <c r="G2" s="135"/>
      <c r="H2" s="135"/>
      <c r="I2" s="135"/>
      <c r="J2" s="135"/>
      <c r="K2" s="133"/>
      <c r="L2" s="133"/>
    </row>
    <row r="3" spans="1:12" ht="24" customHeight="1" x14ac:dyDescent="0.25">
      <c r="A3" s="155"/>
      <c r="B3" s="155"/>
      <c r="C3" s="135"/>
      <c r="D3" s="135"/>
      <c r="E3" s="135"/>
      <c r="F3" s="135"/>
      <c r="G3" s="135"/>
      <c r="H3" s="135"/>
      <c r="I3" s="135"/>
      <c r="J3" s="135"/>
      <c r="K3" s="133"/>
      <c r="L3" s="133"/>
    </row>
    <row r="4" spans="1:12" ht="24" customHeight="1" x14ac:dyDescent="0.25">
      <c r="A4" s="155"/>
      <c r="B4" s="155"/>
      <c r="C4" s="135"/>
      <c r="D4" s="135"/>
      <c r="E4" s="135"/>
      <c r="F4" s="135"/>
      <c r="G4" s="135"/>
      <c r="H4" s="135"/>
      <c r="I4" s="135"/>
      <c r="J4" s="135"/>
      <c r="K4" s="133"/>
      <c r="L4" s="133"/>
    </row>
    <row r="5" spans="1:12" ht="18" customHeight="1" x14ac:dyDescent="0.25">
      <c r="A5" s="155"/>
      <c r="B5" s="155"/>
      <c r="C5" s="136" t="s">
        <v>416</v>
      </c>
      <c r="D5" s="136"/>
      <c r="E5" s="136"/>
      <c r="F5" s="136"/>
      <c r="G5" s="136"/>
      <c r="H5" s="136"/>
      <c r="I5" s="136"/>
      <c r="J5" s="136"/>
      <c r="K5" s="133"/>
      <c r="L5" s="133"/>
    </row>
    <row r="6" spans="1:12" ht="18" customHeight="1" x14ac:dyDescent="0.25">
      <c r="A6" s="155"/>
      <c r="B6" s="155"/>
      <c r="C6" s="136"/>
      <c r="D6" s="136"/>
      <c r="E6" s="136"/>
      <c r="F6" s="136"/>
      <c r="G6" s="136"/>
      <c r="H6" s="136"/>
      <c r="I6" s="136"/>
      <c r="J6" s="136"/>
      <c r="K6" s="133"/>
      <c r="L6" s="133"/>
    </row>
    <row r="7" spans="1:12" ht="18" customHeight="1" x14ac:dyDescent="0.25">
      <c r="A7" s="155"/>
      <c r="B7" s="155"/>
      <c r="C7" s="133"/>
      <c r="D7" s="133"/>
      <c r="E7" s="133"/>
      <c r="F7" s="133"/>
      <c r="G7" s="133"/>
      <c r="H7" s="133"/>
      <c r="I7" s="133"/>
      <c r="J7" s="133"/>
      <c r="K7" s="133"/>
      <c r="L7" s="133"/>
    </row>
    <row r="8" spans="1:12" x14ac:dyDescent="0.25">
      <c r="A8" s="134"/>
      <c r="B8" s="134"/>
      <c r="C8" s="137" t="s">
        <v>417</v>
      </c>
      <c r="D8" s="138"/>
      <c r="E8" s="138"/>
      <c r="F8" s="138"/>
      <c r="G8" s="137" t="s">
        <v>419</v>
      </c>
      <c r="H8" s="138"/>
      <c r="I8" s="138"/>
      <c r="J8" s="139"/>
      <c r="K8" s="133"/>
      <c r="L8" s="133"/>
    </row>
    <row r="9" spans="1:12" x14ac:dyDescent="0.25">
      <c r="A9" s="134"/>
      <c r="B9" s="134"/>
      <c r="C9" s="140"/>
      <c r="D9" s="141"/>
      <c r="E9" s="141"/>
      <c r="F9" s="141"/>
      <c r="G9" s="140"/>
      <c r="H9" s="141"/>
      <c r="I9" s="141"/>
      <c r="J9" s="142"/>
      <c r="K9" s="133"/>
      <c r="L9" s="133"/>
    </row>
    <row r="10" spans="1:12" x14ac:dyDescent="0.25">
      <c r="A10" s="134"/>
      <c r="B10" s="134"/>
      <c r="C10" s="143" t="s">
        <v>418</v>
      </c>
      <c r="D10" s="144"/>
      <c r="E10" s="144"/>
      <c r="F10" s="144"/>
      <c r="G10" s="143" t="s">
        <v>420</v>
      </c>
      <c r="H10" s="144"/>
      <c r="I10" s="144"/>
      <c r="J10" s="145"/>
      <c r="K10" s="133"/>
      <c r="L10" s="133"/>
    </row>
    <row r="11" spans="1:12" x14ac:dyDescent="0.25">
      <c r="A11" s="134"/>
      <c r="B11" s="134"/>
      <c r="C11" s="143"/>
      <c r="D11" s="144"/>
      <c r="E11" s="144"/>
      <c r="F11" s="144"/>
      <c r="G11" s="143"/>
      <c r="H11" s="144"/>
      <c r="I11" s="144"/>
      <c r="J11" s="145"/>
      <c r="K11" s="133"/>
      <c r="L11" s="133"/>
    </row>
    <row r="12" spans="1:12" x14ac:dyDescent="0.25">
      <c r="A12" s="134"/>
      <c r="B12" s="134"/>
      <c r="C12" s="143"/>
      <c r="D12" s="144"/>
      <c r="E12" s="144"/>
      <c r="F12" s="144"/>
      <c r="G12" s="143"/>
      <c r="H12" s="144"/>
      <c r="I12" s="144"/>
      <c r="J12" s="145"/>
      <c r="K12" s="133"/>
      <c r="L12" s="133"/>
    </row>
    <row r="13" spans="1:12" x14ac:dyDescent="0.25">
      <c r="A13" s="134"/>
      <c r="B13" s="134"/>
      <c r="C13" s="146"/>
      <c r="D13" s="147"/>
      <c r="E13" s="147"/>
      <c r="F13" s="147"/>
      <c r="G13" s="146"/>
      <c r="H13" s="147"/>
      <c r="I13" s="147"/>
      <c r="J13" s="148"/>
      <c r="K13" s="133"/>
      <c r="L13" s="133"/>
    </row>
    <row r="14" spans="1:12" x14ac:dyDescent="0.25">
      <c r="A14" s="134"/>
      <c r="B14" s="134"/>
      <c r="C14" s="133"/>
      <c r="D14" s="133"/>
      <c r="E14" s="133"/>
      <c r="F14" s="133"/>
      <c r="G14" s="133"/>
      <c r="H14" s="133"/>
      <c r="I14" s="133"/>
      <c r="J14" s="133"/>
      <c r="K14" s="133"/>
      <c r="L14" s="133"/>
    </row>
    <row r="15" spans="1:12" x14ac:dyDescent="0.25">
      <c r="A15" s="134"/>
      <c r="B15" s="134"/>
      <c r="C15" s="137" t="s">
        <v>421</v>
      </c>
      <c r="D15" s="138"/>
      <c r="E15" s="138"/>
      <c r="F15" s="138"/>
      <c r="G15" s="137" t="s">
        <v>423</v>
      </c>
      <c r="H15" s="138"/>
      <c r="I15" s="138"/>
      <c r="J15" s="139"/>
      <c r="K15" s="133"/>
      <c r="L15" s="133"/>
    </row>
    <row r="16" spans="1:12" x14ac:dyDescent="0.25">
      <c r="A16" s="134"/>
      <c r="B16" s="134"/>
      <c r="C16" s="140"/>
      <c r="D16" s="141"/>
      <c r="E16" s="141"/>
      <c r="F16" s="141"/>
      <c r="G16" s="140"/>
      <c r="H16" s="141"/>
      <c r="I16" s="141"/>
      <c r="J16" s="142"/>
      <c r="K16" s="133"/>
      <c r="L16" s="133"/>
    </row>
    <row r="17" spans="1:12" x14ac:dyDescent="0.25">
      <c r="A17" s="134"/>
      <c r="B17" s="134"/>
      <c r="C17" s="143" t="s">
        <v>422</v>
      </c>
      <c r="D17" s="144"/>
      <c r="E17" s="144"/>
      <c r="F17" s="144"/>
      <c r="G17" s="143" t="s">
        <v>424</v>
      </c>
      <c r="H17" s="144"/>
      <c r="I17" s="144"/>
      <c r="J17" s="145"/>
      <c r="K17" s="133"/>
      <c r="L17" s="133"/>
    </row>
    <row r="18" spans="1:12" x14ac:dyDescent="0.25">
      <c r="A18" s="134"/>
      <c r="B18" s="134"/>
      <c r="C18" s="143"/>
      <c r="D18" s="144"/>
      <c r="E18" s="144"/>
      <c r="F18" s="144"/>
      <c r="G18" s="143"/>
      <c r="H18" s="144"/>
      <c r="I18" s="144"/>
      <c r="J18" s="145"/>
      <c r="K18" s="133"/>
      <c r="L18" s="133"/>
    </row>
    <row r="19" spans="1:12" x14ac:dyDescent="0.25">
      <c r="A19" s="134"/>
      <c r="B19" s="134"/>
      <c r="C19" s="143"/>
      <c r="D19" s="144"/>
      <c r="E19" s="144"/>
      <c r="F19" s="144"/>
      <c r="G19" s="143"/>
      <c r="H19" s="144"/>
      <c r="I19" s="144"/>
      <c r="J19" s="145"/>
      <c r="K19" s="133"/>
      <c r="L19" s="133"/>
    </row>
    <row r="20" spans="1:12" x14ac:dyDescent="0.25">
      <c r="A20" s="134"/>
      <c r="B20" s="134"/>
      <c r="C20" s="146"/>
      <c r="D20" s="147"/>
      <c r="E20" s="147"/>
      <c r="F20" s="147"/>
      <c r="G20" s="146"/>
      <c r="H20" s="147"/>
      <c r="I20" s="147"/>
      <c r="J20" s="148"/>
      <c r="K20" s="133"/>
      <c r="L20" s="133"/>
    </row>
    <row r="21" spans="1:12" x14ac:dyDescent="0.25">
      <c r="A21" s="134"/>
      <c r="B21" s="134"/>
      <c r="C21" s="133"/>
      <c r="D21" s="133"/>
      <c r="E21" s="133"/>
      <c r="F21" s="133"/>
      <c r="G21" s="133"/>
      <c r="H21" s="133"/>
      <c r="I21" s="133"/>
      <c r="J21" s="133"/>
      <c r="K21" s="133"/>
      <c r="L21" s="133"/>
    </row>
    <row r="22" spans="1:12" x14ac:dyDescent="0.25">
      <c r="A22" s="134"/>
      <c r="B22" s="134"/>
      <c r="C22" s="77" t="s">
        <v>425</v>
      </c>
      <c r="D22" s="77"/>
      <c r="E22" s="77"/>
      <c r="F22" s="77"/>
      <c r="G22" s="77"/>
      <c r="H22" s="77"/>
      <c r="I22" s="77"/>
      <c r="J22" s="77"/>
      <c r="K22" s="133"/>
      <c r="L22" s="133"/>
    </row>
    <row r="23" spans="1:12" x14ac:dyDescent="0.25">
      <c r="A23" s="134"/>
      <c r="B23" s="134"/>
      <c r="C23" s="77"/>
      <c r="D23" s="77"/>
      <c r="E23" s="77"/>
      <c r="F23" s="77"/>
      <c r="G23" s="77"/>
      <c r="H23" s="77"/>
      <c r="I23" s="77"/>
      <c r="J23" s="77"/>
      <c r="K23" s="133"/>
      <c r="L23" s="133"/>
    </row>
    <row r="24" spans="1:12" x14ac:dyDescent="0.25">
      <c r="A24" s="134"/>
      <c r="B24" s="134"/>
      <c r="C24" s="149" t="s">
        <v>426</v>
      </c>
      <c r="D24" s="149"/>
      <c r="E24" s="149"/>
      <c r="F24" s="149"/>
      <c r="G24" s="149"/>
      <c r="H24" s="149"/>
      <c r="I24" s="149"/>
      <c r="J24" s="149"/>
      <c r="K24" s="133"/>
      <c r="L24" s="133"/>
    </row>
    <row r="25" spans="1:12" x14ac:dyDescent="0.25">
      <c r="A25" s="134"/>
      <c r="B25" s="134"/>
      <c r="C25" s="149"/>
      <c r="D25" s="149"/>
      <c r="E25" s="149"/>
      <c r="F25" s="149"/>
      <c r="G25" s="149"/>
      <c r="H25" s="149"/>
      <c r="I25" s="149"/>
      <c r="J25" s="149"/>
      <c r="K25" s="133"/>
      <c r="L25" s="133"/>
    </row>
    <row r="26" spans="1:12" x14ac:dyDescent="0.25">
      <c r="A26" s="134"/>
      <c r="B26" s="134"/>
      <c r="C26" s="151" t="s">
        <v>427</v>
      </c>
      <c r="D26" s="151"/>
      <c r="E26" s="151"/>
      <c r="F26" s="151"/>
      <c r="G26" s="151"/>
      <c r="H26" s="151"/>
      <c r="I26" s="151"/>
      <c r="J26" s="151"/>
      <c r="K26" s="133"/>
      <c r="L26" s="133"/>
    </row>
    <row r="27" spans="1:12" x14ac:dyDescent="0.25">
      <c r="A27" s="134"/>
      <c r="B27" s="134"/>
      <c r="C27" s="149"/>
      <c r="D27" s="149"/>
      <c r="E27" s="149"/>
      <c r="F27" s="149"/>
      <c r="G27" s="149"/>
      <c r="H27" s="149"/>
      <c r="I27" s="149"/>
      <c r="J27" s="149"/>
      <c r="K27" s="133"/>
      <c r="L27" s="133"/>
    </row>
    <row r="28" spans="1:12" x14ac:dyDescent="0.25">
      <c r="A28" s="134"/>
      <c r="B28" s="134"/>
      <c r="C28" s="151" t="s">
        <v>428</v>
      </c>
      <c r="D28" s="151"/>
      <c r="E28" s="151"/>
      <c r="F28" s="151"/>
      <c r="G28" s="151"/>
      <c r="H28" s="151"/>
      <c r="I28" s="151"/>
      <c r="J28" s="151"/>
      <c r="K28" s="133"/>
      <c r="L28" s="133"/>
    </row>
    <row r="29" spans="1:12" x14ac:dyDescent="0.25">
      <c r="A29" s="134"/>
      <c r="B29" s="134"/>
      <c r="C29" s="149"/>
      <c r="D29" s="149"/>
      <c r="E29" s="149"/>
      <c r="F29" s="149"/>
      <c r="G29" s="149"/>
      <c r="H29" s="149"/>
      <c r="I29" s="149"/>
      <c r="J29" s="149"/>
      <c r="K29" s="133"/>
      <c r="L29" s="133"/>
    </row>
    <row r="30" spans="1:12" x14ac:dyDescent="0.25">
      <c r="A30" s="134"/>
      <c r="B30" s="134"/>
      <c r="C30" s="151" t="s">
        <v>429</v>
      </c>
      <c r="D30" s="151"/>
      <c r="E30" s="151"/>
      <c r="F30" s="151"/>
      <c r="G30" s="151"/>
      <c r="H30" s="151"/>
      <c r="I30" s="151"/>
      <c r="J30" s="151"/>
      <c r="K30" s="133"/>
      <c r="L30" s="133"/>
    </row>
    <row r="31" spans="1:12" x14ac:dyDescent="0.25">
      <c r="A31" s="134"/>
      <c r="B31" s="134"/>
      <c r="C31" s="150"/>
      <c r="D31" s="150"/>
      <c r="E31" s="150"/>
      <c r="F31" s="150"/>
      <c r="G31" s="150"/>
      <c r="H31" s="150"/>
      <c r="I31" s="150"/>
      <c r="J31" s="150"/>
      <c r="K31" s="133"/>
      <c r="L31" s="133"/>
    </row>
    <row r="32" spans="1:12" x14ac:dyDescent="0.25">
      <c r="A32" s="154" t="s">
        <v>432</v>
      </c>
      <c r="B32" s="154"/>
      <c r="C32" s="133"/>
      <c r="D32" s="133"/>
      <c r="E32" s="133"/>
      <c r="F32" s="133"/>
      <c r="G32" s="133"/>
      <c r="H32" s="133"/>
      <c r="I32" s="133"/>
      <c r="J32" s="133"/>
      <c r="K32" s="133"/>
      <c r="L32" s="133"/>
    </row>
    <row r="33" spans="1:12" x14ac:dyDescent="0.25">
      <c r="A33" s="154"/>
      <c r="B33" s="154"/>
      <c r="C33" s="152" t="s">
        <v>430</v>
      </c>
      <c r="D33" s="152"/>
      <c r="E33" s="152"/>
      <c r="F33" s="152"/>
      <c r="G33" s="152"/>
      <c r="H33" s="152"/>
      <c r="I33" s="152"/>
      <c r="J33" s="152"/>
      <c r="K33" s="133"/>
      <c r="L33" s="133"/>
    </row>
    <row r="34" spans="1:12" x14ac:dyDescent="0.25">
      <c r="A34" s="154"/>
      <c r="B34" s="154"/>
      <c r="C34" s="152"/>
      <c r="D34" s="152"/>
      <c r="E34" s="152"/>
      <c r="F34" s="152"/>
      <c r="G34" s="152"/>
      <c r="H34" s="152"/>
      <c r="I34" s="152"/>
      <c r="J34" s="152"/>
      <c r="K34" s="133"/>
      <c r="L34" s="133"/>
    </row>
    <row r="35" spans="1:12" ht="24" customHeight="1" x14ac:dyDescent="0.25">
      <c r="A35" s="154"/>
      <c r="B35" s="154"/>
      <c r="C35" s="153" t="s">
        <v>431</v>
      </c>
      <c r="D35" s="153"/>
      <c r="E35" s="153"/>
      <c r="F35" s="153"/>
      <c r="G35" s="153"/>
      <c r="H35" s="153"/>
      <c r="I35" s="153"/>
      <c r="J35" s="153"/>
      <c r="K35" s="133"/>
      <c r="L35" s="133"/>
    </row>
    <row r="36" spans="1:12" ht="24" customHeight="1" x14ac:dyDescent="0.25">
      <c r="A36" s="154"/>
      <c r="B36" s="154"/>
      <c r="C36" s="153"/>
      <c r="D36" s="153"/>
      <c r="E36" s="153"/>
      <c r="F36" s="153"/>
      <c r="G36" s="153"/>
      <c r="H36" s="153"/>
      <c r="I36" s="153"/>
      <c r="J36" s="153"/>
      <c r="K36" s="133"/>
      <c r="L36" s="133"/>
    </row>
    <row r="37" spans="1:12" ht="24" customHeight="1" x14ac:dyDescent="0.25">
      <c r="A37" s="154"/>
      <c r="B37" s="154"/>
      <c r="C37" s="153"/>
      <c r="D37" s="153"/>
      <c r="E37" s="153"/>
      <c r="F37" s="153"/>
      <c r="G37" s="153"/>
      <c r="H37" s="153"/>
      <c r="I37" s="153"/>
      <c r="J37" s="153"/>
      <c r="K37" s="133"/>
      <c r="L37" s="133"/>
    </row>
    <row r="38" spans="1:12" ht="18" customHeight="1" x14ac:dyDescent="0.25">
      <c r="A38" s="134"/>
      <c r="B38" s="134"/>
      <c r="C38" s="133"/>
      <c r="D38" s="133"/>
      <c r="E38" s="133"/>
      <c r="F38" s="133"/>
      <c r="G38" s="133"/>
      <c r="H38" s="133"/>
      <c r="I38" s="133"/>
      <c r="J38" s="133"/>
      <c r="K38" s="133"/>
      <c r="L38" s="133"/>
    </row>
  </sheetData>
  <mergeCells count="19">
    <mergeCell ref="A1:B7"/>
    <mergeCell ref="C26:J27"/>
    <mergeCell ref="C28:J29"/>
    <mergeCell ref="C30:J31"/>
    <mergeCell ref="C33:J34"/>
    <mergeCell ref="C35:J37"/>
    <mergeCell ref="A32:B37"/>
    <mergeCell ref="C15:F16"/>
    <mergeCell ref="C17:F20"/>
    <mergeCell ref="G15:J16"/>
    <mergeCell ref="G17:J20"/>
    <mergeCell ref="C22:J23"/>
    <mergeCell ref="C24:J25"/>
    <mergeCell ref="C1:J4"/>
    <mergeCell ref="C5:J6"/>
    <mergeCell ref="C8:F9"/>
    <mergeCell ref="C10:F13"/>
    <mergeCell ref="G8:J9"/>
    <mergeCell ref="G10:J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8" sqref="M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zoomScale="90" zoomScaleNormal="90" workbookViewId="0">
      <selection activeCell="I1" sqref="I1:I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80" bestFit="1" customWidth="1"/>
    <col min="7" max="7" width="22" bestFit="1" customWidth="1"/>
    <col min="8" max="8" width="20.5703125" bestFit="1" customWidth="1"/>
    <col min="9" max="9" width="20.5703125" style="82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5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78" t="s">
        <v>312</v>
      </c>
      <c r="G1" s="9" t="s">
        <v>16</v>
      </c>
      <c r="H1" s="9" t="s">
        <v>309</v>
      </c>
      <c r="I1" s="81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390</v>
      </c>
      <c r="O1" s="9" t="s">
        <v>391</v>
      </c>
    </row>
    <row r="2" spans="1:15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79">
        <v>15</v>
      </c>
      <c r="G2" s="8" t="s">
        <v>20</v>
      </c>
      <c r="H2" s="8" t="s">
        <v>19</v>
      </c>
      <c r="I2" s="79">
        <v>30</v>
      </c>
      <c r="J2" s="8" t="s">
        <v>19</v>
      </c>
      <c r="K2" s="11">
        <v>20</v>
      </c>
      <c r="L2" s="11">
        <v>5</v>
      </c>
      <c r="M2" s="11">
        <v>60</v>
      </c>
      <c r="N2" s="71">
        <f>DATE(YEAR(Tabela1[[#This Row],[Start Date]]),MONTH(Tabela1[[#This Row],[Start Date]]),1)</f>
        <v>45292</v>
      </c>
      <c r="O2" s="72">
        <f>YEAR(Tabela1[[#This Row],[Start Date]])</f>
        <v>2024</v>
      </c>
    </row>
    <row r="3" spans="1:15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79">
        <v>5</v>
      </c>
      <c r="G3" s="8" t="s">
        <v>24</v>
      </c>
      <c r="H3" s="8" t="s">
        <v>23</v>
      </c>
      <c r="I3" s="79" t="s">
        <v>311</v>
      </c>
      <c r="J3" s="8" t="s">
        <v>23</v>
      </c>
      <c r="K3" s="11">
        <v>0</v>
      </c>
      <c r="L3" s="11">
        <v>0</v>
      </c>
      <c r="M3" s="11">
        <v>5</v>
      </c>
      <c r="N3" s="71">
        <f>DATE(YEAR(Tabela1[[#This Row],[Start Date]]),MONTH(Tabela1[[#This Row],[Start Date]]),1)</f>
        <v>45292</v>
      </c>
      <c r="O3" s="72">
        <f>YEAR(Tabela1[[#This Row],[Start Date]])</f>
        <v>2024</v>
      </c>
    </row>
    <row r="4" spans="1:15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79">
        <v>10</v>
      </c>
      <c r="G4" s="8" t="s">
        <v>27</v>
      </c>
      <c r="H4" s="8" t="s">
        <v>23</v>
      </c>
      <c r="I4" s="79" t="s">
        <v>311</v>
      </c>
      <c r="J4" s="8" t="s">
        <v>19</v>
      </c>
      <c r="K4" s="11">
        <v>20</v>
      </c>
      <c r="L4" s="11">
        <v>10</v>
      </c>
      <c r="M4" s="11">
        <v>20</v>
      </c>
      <c r="N4" s="71">
        <f>DATE(YEAR(Tabela1[[#This Row],[Start Date]]),MONTH(Tabela1[[#This Row],[Start Date]]),1)</f>
        <v>45323</v>
      </c>
      <c r="O4" s="72">
        <f>YEAR(Tabela1[[#This Row],[Start Date]])</f>
        <v>2024</v>
      </c>
    </row>
    <row r="5" spans="1:15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79">
        <v>15</v>
      </c>
      <c r="G5" s="8" t="s">
        <v>20</v>
      </c>
      <c r="H5" s="8" t="s">
        <v>19</v>
      </c>
      <c r="I5" s="79">
        <v>30</v>
      </c>
      <c r="J5" s="8" t="s">
        <v>19</v>
      </c>
      <c r="K5" s="11">
        <v>20</v>
      </c>
      <c r="L5" s="11">
        <v>3</v>
      </c>
      <c r="M5" s="11">
        <v>62</v>
      </c>
      <c r="N5" s="71">
        <f>DATE(YEAR(Tabela1[[#This Row],[Start Date]]),MONTH(Tabela1[[#This Row],[Start Date]]),1)</f>
        <v>45323</v>
      </c>
      <c r="O5" s="72">
        <f>YEAR(Tabela1[[#This Row],[Start Date]])</f>
        <v>2024</v>
      </c>
    </row>
    <row r="6" spans="1:15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79">
        <v>5</v>
      </c>
      <c r="G6" s="8" t="s">
        <v>20</v>
      </c>
      <c r="H6" s="8" t="s">
        <v>23</v>
      </c>
      <c r="I6" s="79" t="s">
        <v>311</v>
      </c>
      <c r="J6" s="8" t="s">
        <v>23</v>
      </c>
      <c r="K6" s="11">
        <v>0</v>
      </c>
      <c r="L6" s="11">
        <v>1</v>
      </c>
      <c r="M6" s="11">
        <v>4</v>
      </c>
      <c r="N6" s="71">
        <f>DATE(YEAR(Tabela1[[#This Row],[Start Date]]),MONTH(Tabela1[[#This Row],[Start Date]]),1)</f>
        <v>45352</v>
      </c>
      <c r="O6" s="72">
        <f>YEAR(Tabela1[[#This Row],[Start Date]])</f>
        <v>2024</v>
      </c>
    </row>
    <row r="7" spans="1:15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79">
        <v>10</v>
      </c>
      <c r="G7" s="8" t="s">
        <v>20</v>
      </c>
      <c r="H7" s="8" t="s">
        <v>23</v>
      </c>
      <c r="I7" s="79" t="s">
        <v>311</v>
      </c>
      <c r="J7" s="8" t="s">
        <v>19</v>
      </c>
      <c r="K7" s="11">
        <v>20</v>
      </c>
      <c r="L7" s="11">
        <v>2</v>
      </c>
      <c r="M7" s="11">
        <v>28</v>
      </c>
      <c r="N7" s="71">
        <f>DATE(YEAR(Tabela1[[#This Row],[Start Date]]),MONTH(Tabela1[[#This Row],[Start Date]]),1)</f>
        <v>45352</v>
      </c>
      <c r="O7" s="72">
        <f>YEAR(Tabela1[[#This Row],[Start Date]])</f>
        <v>2024</v>
      </c>
    </row>
    <row r="8" spans="1:15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79">
        <v>15</v>
      </c>
      <c r="G8" s="8" t="s">
        <v>27</v>
      </c>
      <c r="H8" s="8" t="s">
        <v>19</v>
      </c>
      <c r="I8" s="79">
        <v>30</v>
      </c>
      <c r="J8" s="8" t="s">
        <v>19</v>
      </c>
      <c r="K8" s="11">
        <v>20</v>
      </c>
      <c r="L8" s="11">
        <v>10</v>
      </c>
      <c r="M8" s="11">
        <v>55</v>
      </c>
      <c r="N8" s="71">
        <f>DATE(YEAR(Tabela1[[#This Row],[Start Date]]),MONTH(Tabela1[[#This Row],[Start Date]]),1)</f>
        <v>45352</v>
      </c>
      <c r="O8" s="72">
        <f>YEAR(Tabela1[[#This Row],[Start Date]])</f>
        <v>2024</v>
      </c>
    </row>
    <row r="9" spans="1:15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79">
        <v>5</v>
      </c>
      <c r="G9" s="8" t="s">
        <v>24</v>
      </c>
      <c r="H9" s="8" t="s">
        <v>23</v>
      </c>
      <c r="I9" s="79" t="s">
        <v>311</v>
      </c>
      <c r="J9" s="8" t="s">
        <v>23</v>
      </c>
      <c r="K9" s="11">
        <v>0</v>
      </c>
      <c r="L9" s="11">
        <v>0</v>
      </c>
      <c r="M9" s="11">
        <v>5</v>
      </c>
      <c r="N9" s="71">
        <f>DATE(YEAR(Tabela1[[#This Row],[Start Date]]),MONTH(Tabela1[[#This Row],[Start Date]]),1)</f>
        <v>45352</v>
      </c>
      <c r="O9" s="72">
        <f>YEAR(Tabela1[[#This Row],[Start Date]])</f>
        <v>2024</v>
      </c>
    </row>
    <row r="10" spans="1:15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79">
        <v>15</v>
      </c>
      <c r="G10" s="8" t="s">
        <v>20</v>
      </c>
      <c r="H10" s="8" t="s">
        <v>19</v>
      </c>
      <c r="I10" s="79">
        <v>30</v>
      </c>
      <c r="J10" s="8" t="s">
        <v>19</v>
      </c>
      <c r="K10" s="11">
        <v>20</v>
      </c>
      <c r="L10" s="11">
        <v>5</v>
      </c>
      <c r="M10" s="11">
        <v>60</v>
      </c>
      <c r="N10" s="71">
        <f>DATE(YEAR(Tabela1[[#This Row],[Start Date]]),MONTH(Tabela1[[#This Row],[Start Date]]),1)</f>
        <v>45352</v>
      </c>
      <c r="O10" s="72">
        <f>YEAR(Tabela1[[#This Row],[Start Date]])</f>
        <v>2024</v>
      </c>
    </row>
    <row r="11" spans="1:15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79">
        <v>10</v>
      </c>
      <c r="G11" s="8" t="s">
        <v>27</v>
      </c>
      <c r="H11" s="8" t="s">
        <v>23</v>
      </c>
      <c r="I11" s="79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71">
        <f>DATE(YEAR(Tabela1[[#This Row],[Start Date]]),MONTH(Tabela1[[#This Row],[Start Date]]),1)</f>
        <v>45352</v>
      </c>
      <c r="O11" s="72">
        <f>YEAR(Tabela1[[#This Row],[Start Date]])</f>
        <v>2024</v>
      </c>
    </row>
    <row r="12" spans="1:15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79">
        <v>5</v>
      </c>
      <c r="G12" s="8" t="s">
        <v>20</v>
      </c>
      <c r="H12" s="8" t="s">
        <v>23</v>
      </c>
      <c r="I12" s="79" t="s">
        <v>311</v>
      </c>
      <c r="J12" s="8" t="s">
        <v>23</v>
      </c>
      <c r="K12" s="11">
        <v>0</v>
      </c>
      <c r="L12" s="11">
        <v>1</v>
      </c>
      <c r="M12" s="11">
        <v>4</v>
      </c>
      <c r="N12" s="71">
        <f>DATE(YEAR(Tabela1[[#This Row],[Start Date]]),MONTH(Tabela1[[#This Row],[Start Date]]),1)</f>
        <v>45352</v>
      </c>
      <c r="O12" s="72">
        <f>YEAR(Tabela1[[#This Row],[Start Date]])</f>
        <v>2024</v>
      </c>
    </row>
    <row r="13" spans="1:15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79">
        <v>15</v>
      </c>
      <c r="G13" s="8" t="s">
        <v>24</v>
      </c>
      <c r="H13" s="8" t="s">
        <v>19</v>
      </c>
      <c r="I13" s="79">
        <v>30</v>
      </c>
      <c r="J13" s="8" t="s">
        <v>19</v>
      </c>
      <c r="K13" s="11">
        <v>20</v>
      </c>
      <c r="L13" s="11">
        <v>20</v>
      </c>
      <c r="M13" s="11">
        <v>45</v>
      </c>
      <c r="N13" s="71">
        <f>DATE(YEAR(Tabela1[[#This Row],[Start Date]]),MONTH(Tabela1[[#This Row],[Start Date]]),1)</f>
        <v>45352</v>
      </c>
      <c r="O13" s="72">
        <f>YEAR(Tabela1[[#This Row],[Start Date]])</f>
        <v>2024</v>
      </c>
    </row>
    <row r="14" spans="1:15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79">
        <v>10</v>
      </c>
      <c r="G14" s="8" t="s">
        <v>20</v>
      </c>
      <c r="H14" s="8" t="s">
        <v>23</v>
      </c>
      <c r="I14" s="79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71">
        <f>DATE(YEAR(Tabela1[[#This Row],[Start Date]]),MONTH(Tabela1[[#This Row],[Start Date]]),1)</f>
        <v>45352</v>
      </c>
      <c r="O14" s="72">
        <f>YEAR(Tabela1[[#This Row],[Start Date]])</f>
        <v>2024</v>
      </c>
    </row>
    <row r="15" spans="1:15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79">
        <v>5</v>
      </c>
      <c r="G15" s="8" t="s">
        <v>27</v>
      </c>
      <c r="H15" s="8" t="s">
        <v>23</v>
      </c>
      <c r="I15" s="79" t="s">
        <v>311</v>
      </c>
      <c r="J15" s="8" t="s">
        <v>23</v>
      </c>
      <c r="K15" s="11">
        <v>0</v>
      </c>
      <c r="L15" s="11">
        <v>0</v>
      </c>
      <c r="M15" s="11">
        <v>5</v>
      </c>
      <c r="N15" s="71">
        <f>DATE(YEAR(Tabela1[[#This Row],[Start Date]]),MONTH(Tabela1[[#This Row],[Start Date]]),1)</f>
        <v>45352</v>
      </c>
      <c r="O15" s="72">
        <f>YEAR(Tabela1[[#This Row],[Start Date]])</f>
        <v>2024</v>
      </c>
    </row>
    <row r="16" spans="1:15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79">
        <v>15</v>
      </c>
      <c r="G16" s="8" t="s">
        <v>20</v>
      </c>
      <c r="H16" s="8" t="s">
        <v>19</v>
      </c>
      <c r="I16" s="79">
        <v>30</v>
      </c>
      <c r="J16" s="8" t="s">
        <v>19</v>
      </c>
      <c r="K16" s="11">
        <v>20</v>
      </c>
      <c r="L16" s="11">
        <v>8</v>
      </c>
      <c r="M16" s="11">
        <v>57</v>
      </c>
      <c r="N16" s="71">
        <f>DATE(YEAR(Tabela1[[#This Row],[Start Date]]),MONTH(Tabela1[[#This Row],[Start Date]]),1)</f>
        <v>45352</v>
      </c>
      <c r="O16" s="72">
        <f>YEAR(Tabela1[[#This Row],[Start Date]])</f>
        <v>2024</v>
      </c>
    </row>
    <row r="17" spans="1:15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79">
        <v>10</v>
      </c>
      <c r="G17" s="8" t="s">
        <v>24</v>
      </c>
      <c r="H17" s="8" t="s">
        <v>23</v>
      </c>
      <c r="I17" s="79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71">
        <f>DATE(YEAR(Tabela1[[#This Row],[Start Date]]),MONTH(Tabela1[[#This Row],[Start Date]]),1)</f>
        <v>45352</v>
      </c>
      <c r="O17" s="72">
        <f>YEAR(Tabela1[[#This Row],[Start Date]])</f>
        <v>2024</v>
      </c>
    </row>
    <row r="18" spans="1:15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79">
        <v>5</v>
      </c>
      <c r="G18" s="8" t="s">
        <v>20</v>
      </c>
      <c r="H18" s="8" t="s">
        <v>23</v>
      </c>
      <c r="I18" s="79" t="s">
        <v>311</v>
      </c>
      <c r="J18" s="8" t="s">
        <v>23</v>
      </c>
      <c r="K18" s="11">
        <v>0</v>
      </c>
      <c r="L18" s="11">
        <v>2</v>
      </c>
      <c r="M18" s="11">
        <v>3</v>
      </c>
      <c r="N18" s="71">
        <f>DATE(YEAR(Tabela1[[#This Row],[Start Date]]),MONTH(Tabela1[[#This Row],[Start Date]]),1)</f>
        <v>45352</v>
      </c>
      <c r="O18" s="72">
        <f>YEAR(Tabela1[[#This Row],[Start Date]])</f>
        <v>2024</v>
      </c>
    </row>
    <row r="19" spans="1:15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79">
        <v>15</v>
      </c>
      <c r="G19" s="8" t="s">
        <v>27</v>
      </c>
      <c r="H19" s="8" t="s">
        <v>19</v>
      </c>
      <c r="I19" s="79">
        <v>30</v>
      </c>
      <c r="J19" s="8" t="s">
        <v>19</v>
      </c>
      <c r="K19" s="11">
        <v>20</v>
      </c>
      <c r="L19" s="11">
        <v>7</v>
      </c>
      <c r="M19" s="11">
        <v>58</v>
      </c>
      <c r="N19" s="71">
        <f>DATE(YEAR(Tabela1[[#This Row],[Start Date]]),MONTH(Tabela1[[#This Row],[Start Date]]),1)</f>
        <v>45352</v>
      </c>
      <c r="O19" s="72">
        <f>YEAR(Tabela1[[#This Row],[Start Date]])</f>
        <v>2024</v>
      </c>
    </row>
    <row r="20" spans="1:15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79">
        <v>10</v>
      </c>
      <c r="G20" s="8" t="s">
        <v>20</v>
      </c>
      <c r="H20" s="8" t="s">
        <v>23</v>
      </c>
      <c r="I20" s="79" t="s">
        <v>311</v>
      </c>
      <c r="J20" s="8" t="s">
        <v>19</v>
      </c>
      <c r="K20" s="11">
        <v>20</v>
      </c>
      <c r="L20" s="11">
        <v>5</v>
      </c>
      <c r="M20" s="11">
        <v>25</v>
      </c>
      <c r="N20" s="71">
        <f>DATE(YEAR(Tabela1[[#This Row],[Start Date]]),MONTH(Tabela1[[#This Row],[Start Date]]),1)</f>
        <v>45352</v>
      </c>
      <c r="O20" s="72">
        <f>YEAR(Tabela1[[#This Row],[Start Date]])</f>
        <v>2024</v>
      </c>
    </row>
    <row r="21" spans="1:15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79">
        <v>5</v>
      </c>
      <c r="G21" s="8" t="s">
        <v>24</v>
      </c>
      <c r="H21" s="8" t="s">
        <v>23</v>
      </c>
      <c r="I21" s="79" t="s">
        <v>311</v>
      </c>
      <c r="J21" s="8" t="s">
        <v>23</v>
      </c>
      <c r="K21" s="11">
        <v>0</v>
      </c>
      <c r="L21" s="11">
        <v>0</v>
      </c>
      <c r="M21" s="11">
        <v>5</v>
      </c>
      <c r="N21" s="71">
        <f>DATE(YEAR(Tabela1[[#This Row],[Start Date]]),MONTH(Tabela1[[#This Row],[Start Date]]),1)</f>
        <v>45352</v>
      </c>
      <c r="O21" s="72">
        <f>YEAR(Tabela1[[#This Row],[Start Date]])</f>
        <v>2024</v>
      </c>
    </row>
    <row r="22" spans="1:15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79">
        <v>15</v>
      </c>
      <c r="G22" s="8" t="s">
        <v>20</v>
      </c>
      <c r="H22" s="8" t="s">
        <v>19</v>
      </c>
      <c r="I22" s="79">
        <v>30</v>
      </c>
      <c r="J22" s="8" t="s">
        <v>19</v>
      </c>
      <c r="K22" s="11">
        <v>20</v>
      </c>
      <c r="L22" s="11">
        <v>3</v>
      </c>
      <c r="M22" s="11">
        <v>62</v>
      </c>
      <c r="N22" s="71">
        <f>DATE(YEAR(Tabela1[[#This Row],[Start Date]]),MONTH(Tabela1[[#This Row],[Start Date]]),1)</f>
        <v>45352</v>
      </c>
      <c r="O22" s="72">
        <f>YEAR(Tabela1[[#This Row],[Start Date]])</f>
        <v>2024</v>
      </c>
    </row>
    <row r="23" spans="1:15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79">
        <v>10</v>
      </c>
      <c r="G23" s="8" t="s">
        <v>27</v>
      </c>
      <c r="H23" s="8" t="s">
        <v>23</v>
      </c>
      <c r="I23" s="79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71">
        <f>DATE(YEAR(Tabela1[[#This Row],[Start Date]]),MONTH(Tabela1[[#This Row],[Start Date]]),1)</f>
        <v>45352</v>
      </c>
      <c r="O23" s="72">
        <f>YEAR(Tabela1[[#This Row],[Start Date]])</f>
        <v>2024</v>
      </c>
    </row>
    <row r="24" spans="1:15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79">
        <v>5</v>
      </c>
      <c r="G24" s="8" t="s">
        <v>20</v>
      </c>
      <c r="H24" s="8" t="s">
        <v>23</v>
      </c>
      <c r="I24" s="79" t="s">
        <v>311</v>
      </c>
      <c r="J24" s="8" t="s">
        <v>23</v>
      </c>
      <c r="K24" s="11">
        <v>0</v>
      </c>
      <c r="L24" s="11">
        <v>1</v>
      </c>
      <c r="M24" s="11">
        <v>4</v>
      </c>
      <c r="N24" s="71">
        <f>DATE(YEAR(Tabela1[[#This Row],[Start Date]]),MONTH(Tabela1[[#This Row],[Start Date]]),1)</f>
        <v>45352</v>
      </c>
      <c r="O24" s="72">
        <f>YEAR(Tabela1[[#This Row],[Start Date]])</f>
        <v>2024</v>
      </c>
    </row>
    <row r="25" spans="1:15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79">
        <v>15</v>
      </c>
      <c r="G25" s="8" t="s">
        <v>24</v>
      </c>
      <c r="H25" s="8" t="s">
        <v>19</v>
      </c>
      <c r="I25" s="79">
        <v>30</v>
      </c>
      <c r="J25" s="8" t="s">
        <v>19</v>
      </c>
      <c r="K25" s="11">
        <v>20</v>
      </c>
      <c r="L25" s="11">
        <v>20</v>
      </c>
      <c r="M25" s="11">
        <v>45</v>
      </c>
      <c r="N25" s="71">
        <f>DATE(YEAR(Tabela1[[#This Row],[Start Date]]),MONTH(Tabela1[[#This Row],[Start Date]]),1)</f>
        <v>45352</v>
      </c>
      <c r="O25" s="72">
        <f>YEAR(Tabela1[[#This Row],[Start Date]])</f>
        <v>2024</v>
      </c>
    </row>
    <row r="26" spans="1:15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79">
        <v>10</v>
      </c>
      <c r="G26" s="8" t="s">
        <v>20</v>
      </c>
      <c r="H26" s="8" t="s">
        <v>23</v>
      </c>
      <c r="I26" s="79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71">
        <f>DATE(YEAR(Tabela1[[#This Row],[Start Date]]),MONTH(Tabela1[[#This Row],[Start Date]]),1)</f>
        <v>45352</v>
      </c>
      <c r="O26" s="72">
        <f>YEAR(Tabela1[[#This Row],[Start Date]])</f>
        <v>2024</v>
      </c>
    </row>
    <row r="27" spans="1:15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79">
        <v>5</v>
      </c>
      <c r="G27" s="8" t="s">
        <v>27</v>
      </c>
      <c r="H27" s="8" t="s">
        <v>23</v>
      </c>
      <c r="I27" s="79" t="s">
        <v>311</v>
      </c>
      <c r="J27" s="8" t="s">
        <v>23</v>
      </c>
      <c r="K27" s="11">
        <v>0</v>
      </c>
      <c r="L27" s="11">
        <v>0</v>
      </c>
      <c r="M27" s="11">
        <v>5</v>
      </c>
      <c r="N27" s="71">
        <f>DATE(YEAR(Tabela1[[#This Row],[Start Date]]),MONTH(Tabela1[[#This Row],[Start Date]]),1)</f>
        <v>45352</v>
      </c>
      <c r="O27" s="72">
        <f>YEAR(Tabela1[[#This Row],[Start Date]])</f>
        <v>2024</v>
      </c>
    </row>
    <row r="28" spans="1:15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79">
        <v>15</v>
      </c>
      <c r="G28" s="8" t="s">
        <v>20</v>
      </c>
      <c r="H28" s="8" t="s">
        <v>19</v>
      </c>
      <c r="I28" s="79">
        <v>30</v>
      </c>
      <c r="J28" s="8" t="s">
        <v>19</v>
      </c>
      <c r="K28" s="11">
        <v>20</v>
      </c>
      <c r="L28" s="11">
        <v>5</v>
      </c>
      <c r="M28" s="11">
        <v>60</v>
      </c>
      <c r="N28" s="71">
        <f>DATE(YEAR(Tabela1[[#This Row],[Start Date]]),MONTH(Tabela1[[#This Row],[Start Date]]),1)</f>
        <v>45352</v>
      </c>
      <c r="O28" s="72">
        <f>YEAR(Tabela1[[#This Row],[Start Date]])</f>
        <v>2024</v>
      </c>
    </row>
    <row r="29" spans="1:15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79">
        <v>10</v>
      </c>
      <c r="G29" s="8" t="s">
        <v>24</v>
      </c>
      <c r="H29" s="8" t="s">
        <v>23</v>
      </c>
      <c r="I29" s="79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71">
        <f>DATE(YEAR(Tabela1[[#This Row],[Start Date]]),MONTH(Tabela1[[#This Row],[Start Date]]),1)</f>
        <v>45352</v>
      </c>
      <c r="O29" s="72">
        <f>YEAR(Tabela1[[#This Row],[Start Date]])</f>
        <v>2024</v>
      </c>
    </row>
    <row r="30" spans="1:15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79">
        <v>5</v>
      </c>
      <c r="G30" s="8" t="s">
        <v>20</v>
      </c>
      <c r="H30" s="8" t="s">
        <v>23</v>
      </c>
      <c r="I30" s="79" t="s">
        <v>311</v>
      </c>
      <c r="J30" s="8" t="s">
        <v>23</v>
      </c>
      <c r="K30" s="11">
        <v>0</v>
      </c>
      <c r="L30" s="11">
        <v>1</v>
      </c>
      <c r="M30" s="11">
        <v>4</v>
      </c>
      <c r="N30" s="71">
        <f>DATE(YEAR(Tabela1[[#This Row],[Start Date]]),MONTH(Tabela1[[#This Row],[Start Date]]),1)</f>
        <v>45352</v>
      </c>
      <c r="O30" s="72">
        <f>YEAR(Tabela1[[#This Row],[Start Date]])</f>
        <v>2024</v>
      </c>
    </row>
    <row r="31" spans="1:15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79">
        <v>15</v>
      </c>
      <c r="G31" s="8" t="s">
        <v>27</v>
      </c>
      <c r="H31" s="8" t="s">
        <v>19</v>
      </c>
      <c r="I31" s="79">
        <v>30</v>
      </c>
      <c r="J31" s="8" t="s">
        <v>19</v>
      </c>
      <c r="K31" s="11">
        <v>20</v>
      </c>
      <c r="L31" s="11">
        <v>7</v>
      </c>
      <c r="M31" s="11">
        <v>58</v>
      </c>
      <c r="N31" s="71">
        <f>DATE(YEAR(Tabela1[[#This Row],[Start Date]]),MONTH(Tabela1[[#This Row],[Start Date]]),1)</f>
        <v>45352</v>
      </c>
      <c r="O31" s="72">
        <f>YEAR(Tabela1[[#This Row],[Start Date]])</f>
        <v>2024</v>
      </c>
    </row>
    <row r="32" spans="1:15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79">
        <v>10</v>
      </c>
      <c r="G32" s="8" t="s">
        <v>20</v>
      </c>
      <c r="H32" s="8" t="s">
        <v>23</v>
      </c>
      <c r="I32" s="79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71">
        <f>DATE(YEAR(Tabela1[[#This Row],[Start Date]]),MONTH(Tabela1[[#This Row],[Start Date]]),1)</f>
        <v>45352</v>
      </c>
      <c r="O32" s="72">
        <f>YEAR(Tabela1[[#This Row],[Start Date]])</f>
        <v>2024</v>
      </c>
    </row>
    <row r="33" spans="1:15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79">
        <v>5</v>
      </c>
      <c r="G33" s="8" t="s">
        <v>24</v>
      </c>
      <c r="H33" s="8" t="s">
        <v>23</v>
      </c>
      <c r="I33" s="79" t="s">
        <v>311</v>
      </c>
      <c r="J33" s="8" t="s">
        <v>23</v>
      </c>
      <c r="K33" s="11">
        <v>0</v>
      </c>
      <c r="L33" s="11">
        <v>0</v>
      </c>
      <c r="M33" s="11">
        <v>5</v>
      </c>
      <c r="N33" s="71">
        <f>DATE(YEAR(Tabela1[[#This Row],[Start Date]]),MONTH(Tabela1[[#This Row],[Start Date]]),1)</f>
        <v>45352</v>
      </c>
      <c r="O33" s="72">
        <f>YEAR(Tabela1[[#This Row],[Start Date]])</f>
        <v>2024</v>
      </c>
    </row>
    <row r="34" spans="1:15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79">
        <v>15</v>
      </c>
      <c r="G34" s="8" t="s">
        <v>20</v>
      </c>
      <c r="H34" s="8" t="s">
        <v>19</v>
      </c>
      <c r="I34" s="79">
        <v>30</v>
      </c>
      <c r="J34" s="8" t="s">
        <v>19</v>
      </c>
      <c r="K34" s="11">
        <v>20</v>
      </c>
      <c r="L34" s="11">
        <v>3</v>
      </c>
      <c r="M34" s="11">
        <v>62</v>
      </c>
      <c r="N34" s="71">
        <f>DATE(YEAR(Tabela1[[#This Row],[Start Date]]),MONTH(Tabela1[[#This Row],[Start Date]]),1)</f>
        <v>45352</v>
      </c>
      <c r="O34" s="72">
        <f>YEAR(Tabela1[[#This Row],[Start Date]])</f>
        <v>2024</v>
      </c>
    </row>
    <row r="35" spans="1:15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79">
        <v>10</v>
      </c>
      <c r="G35" s="8" t="s">
        <v>27</v>
      </c>
      <c r="H35" s="8" t="s">
        <v>23</v>
      </c>
      <c r="I35" s="79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71">
        <f>DATE(YEAR(Tabela1[[#This Row],[Start Date]]),MONTH(Tabela1[[#This Row],[Start Date]]),1)</f>
        <v>45352</v>
      </c>
      <c r="O35" s="72">
        <f>YEAR(Tabela1[[#This Row],[Start Date]])</f>
        <v>2024</v>
      </c>
    </row>
    <row r="36" spans="1:15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79">
        <v>5</v>
      </c>
      <c r="G36" s="8" t="s">
        <v>20</v>
      </c>
      <c r="H36" s="8" t="s">
        <v>23</v>
      </c>
      <c r="I36" s="79" t="s">
        <v>311</v>
      </c>
      <c r="J36" s="8" t="s">
        <v>23</v>
      </c>
      <c r="K36" s="11">
        <v>0</v>
      </c>
      <c r="L36" s="11">
        <v>1</v>
      </c>
      <c r="M36" s="11">
        <v>4</v>
      </c>
      <c r="N36" s="71">
        <f>DATE(YEAR(Tabela1[[#This Row],[Start Date]]),MONTH(Tabela1[[#This Row],[Start Date]]),1)</f>
        <v>45352</v>
      </c>
      <c r="O36" s="72">
        <f>YEAR(Tabela1[[#This Row],[Start Date]])</f>
        <v>2024</v>
      </c>
    </row>
    <row r="37" spans="1:15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79">
        <v>5</v>
      </c>
      <c r="G37" s="8" t="s">
        <v>20</v>
      </c>
      <c r="H37" s="8" t="s">
        <v>23</v>
      </c>
      <c r="I37" s="79" t="s">
        <v>311</v>
      </c>
      <c r="J37" s="8" t="s">
        <v>23</v>
      </c>
      <c r="K37" s="11">
        <v>0</v>
      </c>
      <c r="L37" s="11">
        <v>0</v>
      </c>
      <c r="M37" s="11">
        <v>5</v>
      </c>
      <c r="N37" s="71">
        <f>DATE(YEAR(Tabela1[[#This Row],[Start Date]]),MONTH(Tabela1[[#This Row],[Start Date]]),1)</f>
        <v>45383</v>
      </c>
      <c r="O37" s="72">
        <f>YEAR(Tabela1[[#This Row],[Start Date]])</f>
        <v>2024</v>
      </c>
    </row>
    <row r="38" spans="1:15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79">
        <v>15</v>
      </c>
      <c r="G38" s="8" t="s">
        <v>27</v>
      </c>
      <c r="H38" s="8" t="s">
        <v>19</v>
      </c>
      <c r="I38" s="79">
        <v>30</v>
      </c>
      <c r="J38" s="8" t="s">
        <v>19</v>
      </c>
      <c r="K38" s="11">
        <v>20</v>
      </c>
      <c r="L38" s="11">
        <v>7</v>
      </c>
      <c r="M38" s="11">
        <v>58</v>
      </c>
      <c r="N38" s="71">
        <f>DATE(YEAR(Tabela1[[#This Row],[Start Date]]),MONTH(Tabela1[[#This Row],[Start Date]]),1)</f>
        <v>45383</v>
      </c>
      <c r="O38" s="72">
        <f>YEAR(Tabela1[[#This Row],[Start Date]])</f>
        <v>2024</v>
      </c>
    </row>
    <row r="39" spans="1:15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79">
        <v>10</v>
      </c>
      <c r="G39" s="8" t="s">
        <v>24</v>
      </c>
      <c r="H39" s="8" t="s">
        <v>23</v>
      </c>
      <c r="I39" s="79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71">
        <f>DATE(YEAR(Tabela1[[#This Row],[Start Date]]),MONTH(Tabela1[[#This Row],[Start Date]]),1)</f>
        <v>45383</v>
      </c>
      <c r="O39" s="72">
        <f>YEAR(Tabela1[[#This Row],[Start Date]])</f>
        <v>2024</v>
      </c>
    </row>
    <row r="40" spans="1:15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79">
        <v>5</v>
      </c>
      <c r="G40" s="8" t="s">
        <v>27</v>
      </c>
      <c r="H40" s="8" t="s">
        <v>23</v>
      </c>
      <c r="I40" s="79" t="s">
        <v>311</v>
      </c>
      <c r="J40" s="8" t="s">
        <v>23</v>
      </c>
      <c r="K40" s="11">
        <v>0</v>
      </c>
      <c r="L40" s="11">
        <v>1</v>
      </c>
      <c r="M40" s="11">
        <v>4</v>
      </c>
      <c r="N40" s="71">
        <f>DATE(YEAR(Tabela1[[#This Row],[Start Date]]),MONTH(Tabela1[[#This Row],[Start Date]]),1)</f>
        <v>45383</v>
      </c>
      <c r="O40" s="72">
        <f>YEAR(Tabela1[[#This Row],[Start Date]])</f>
        <v>2024</v>
      </c>
    </row>
    <row r="41" spans="1:15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79">
        <v>15</v>
      </c>
      <c r="G41" s="8" t="s">
        <v>20</v>
      </c>
      <c r="H41" s="8" t="s">
        <v>19</v>
      </c>
      <c r="I41" s="79">
        <v>30</v>
      </c>
      <c r="J41" s="8" t="s">
        <v>19</v>
      </c>
      <c r="K41" s="11">
        <v>20</v>
      </c>
      <c r="L41" s="11">
        <v>15</v>
      </c>
      <c r="M41" s="11">
        <v>50</v>
      </c>
      <c r="N41" s="71">
        <f>DATE(YEAR(Tabela1[[#This Row],[Start Date]]),MONTH(Tabela1[[#This Row],[Start Date]]),1)</f>
        <v>45383</v>
      </c>
      <c r="O41" s="72">
        <f>YEAR(Tabela1[[#This Row],[Start Date]])</f>
        <v>2024</v>
      </c>
    </row>
    <row r="42" spans="1:15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79">
        <v>10</v>
      </c>
      <c r="G42" s="8" t="s">
        <v>20</v>
      </c>
      <c r="H42" s="8" t="s">
        <v>23</v>
      </c>
      <c r="I42" s="79" t="s">
        <v>311</v>
      </c>
      <c r="J42" s="8" t="s">
        <v>19</v>
      </c>
      <c r="K42" s="11">
        <v>20</v>
      </c>
      <c r="L42" s="11">
        <v>5</v>
      </c>
      <c r="M42" s="11">
        <v>25</v>
      </c>
      <c r="N42" s="71">
        <f>DATE(YEAR(Tabela1[[#This Row],[Start Date]]),MONTH(Tabela1[[#This Row],[Start Date]]),1)</f>
        <v>45383</v>
      </c>
      <c r="O42" s="72">
        <f>YEAR(Tabela1[[#This Row],[Start Date]])</f>
        <v>2024</v>
      </c>
    </row>
    <row r="43" spans="1:15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79">
        <v>5</v>
      </c>
      <c r="G43" s="8" t="s">
        <v>24</v>
      </c>
      <c r="H43" s="8" t="s">
        <v>23</v>
      </c>
      <c r="I43" s="79" t="s">
        <v>311</v>
      </c>
      <c r="J43" s="8" t="s">
        <v>23</v>
      </c>
      <c r="K43" s="11">
        <v>0</v>
      </c>
      <c r="L43" s="11">
        <v>0</v>
      </c>
      <c r="M43" s="11">
        <v>5</v>
      </c>
      <c r="N43" s="71">
        <f>DATE(YEAR(Tabela1[[#This Row],[Start Date]]),MONTH(Tabela1[[#This Row],[Start Date]]),1)</f>
        <v>45383</v>
      </c>
      <c r="O43" s="72">
        <f>YEAR(Tabela1[[#This Row],[Start Date]])</f>
        <v>2024</v>
      </c>
    </row>
    <row r="44" spans="1:15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79">
        <v>15</v>
      </c>
      <c r="G44" s="8" t="s">
        <v>27</v>
      </c>
      <c r="H44" s="8" t="s">
        <v>19</v>
      </c>
      <c r="I44" s="79">
        <v>30</v>
      </c>
      <c r="J44" s="8" t="s">
        <v>19</v>
      </c>
      <c r="K44" s="11">
        <v>20</v>
      </c>
      <c r="L44" s="11">
        <v>20</v>
      </c>
      <c r="M44" s="11">
        <v>45</v>
      </c>
      <c r="N44" s="71">
        <f>DATE(YEAR(Tabela1[[#This Row],[Start Date]]),MONTH(Tabela1[[#This Row],[Start Date]]),1)</f>
        <v>45383</v>
      </c>
      <c r="O44" s="72">
        <f>YEAR(Tabela1[[#This Row],[Start Date]])</f>
        <v>2024</v>
      </c>
    </row>
    <row r="45" spans="1:15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79">
        <v>10</v>
      </c>
      <c r="G45" s="8" t="s">
        <v>27</v>
      </c>
      <c r="H45" s="8" t="s">
        <v>23</v>
      </c>
      <c r="I45" s="79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71">
        <f>DATE(YEAR(Tabela1[[#This Row],[Start Date]]),MONTH(Tabela1[[#This Row],[Start Date]]),1)</f>
        <v>45383</v>
      </c>
      <c r="O45" s="72">
        <f>YEAR(Tabela1[[#This Row],[Start Date]])</f>
        <v>2024</v>
      </c>
    </row>
    <row r="46" spans="1:15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79">
        <v>5</v>
      </c>
      <c r="G46" s="8" t="s">
        <v>20</v>
      </c>
      <c r="H46" s="8" t="s">
        <v>23</v>
      </c>
      <c r="I46" s="79" t="s">
        <v>311</v>
      </c>
      <c r="J46" s="8" t="s">
        <v>23</v>
      </c>
      <c r="K46" s="11">
        <v>0</v>
      </c>
      <c r="L46" s="11">
        <v>2</v>
      </c>
      <c r="M46" s="11">
        <v>3</v>
      </c>
      <c r="N46" s="71">
        <f>DATE(YEAR(Tabela1[[#This Row],[Start Date]]),MONTH(Tabela1[[#This Row],[Start Date]]),1)</f>
        <v>45383</v>
      </c>
      <c r="O46" s="72">
        <f>YEAR(Tabela1[[#This Row],[Start Date]])</f>
        <v>2024</v>
      </c>
    </row>
    <row r="47" spans="1:15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79">
        <v>15</v>
      </c>
      <c r="G47" s="8" t="s">
        <v>24</v>
      </c>
      <c r="H47" s="8" t="s">
        <v>19</v>
      </c>
      <c r="I47" s="79">
        <v>30</v>
      </c>
      <c r="J47" s="8" t="s">
        <v>19</v>
      </c>
      <c r="K47" s="11">
        <v>20</v>
      </c>
      <c r="L47" s="11">
        <v>5</v>
      </c>
      <c r="M47" s="11">
        <v>60</v>
      </c>
      <c r="N47" s="71">
        <f>DATE(YEAR(Tabela1[[#This Row],[Start Date]]),MONTH(Tabela1[[#This Row],[Start Date]]),1)</f>
        <v>45383</v>
      </c>
      <c r="O47" s="72">
        <f>YEAR(Tabela1[[#This Row],[Start Date]])</f>
        <v>2024</v>
      </c>
    </row>
    <row r="48" spans="1:15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79">
        <v>10</v>
      </c>
      <c r="G48" s="8" t="s">
        <v>20</v>
      </c>
      <c r="H48" s="8" t="s">
        <v>23</v>
      </c>
      <c r="I48" s="79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71">
        <f>DATE(YEAR(Tabela1[[#This Row],[Start Date]]),MONTH(Tabela1[[#This Row],[Start Date]]),1)</f>
        <v>45383</v>
      </c>
      <c r="O48" s="72">
        <f>YEAR(Tabela1[[#This Row],[Start Date]])</f>
        <v>2024</v>
      </c>
    </row>
    <row r="49" spans="1:15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79">
        <v>5</v>
      </c>
      <c r="G49" s="8" t="s">
        <v>27</v>
      </c>
      <c r="H49" s="8" t="s">
        <v>23</v>
      </c>
      <c r="I49" s="79" t="s">
        <v>311</v>
      </c>
      <c r="J49" s="8" t="s">
        <v>23</v>
      </c>
      <c r="K49" s="11">
        <v>0</v>
      </c>
      <c r="L49" s="11">
        <v>0</v>
      </c>
      <c r="M49" s="11">
        <v>5</v>
      </c>
      <c r="N49" s="71">
        <f>DATE(YEAR(Tabela1[[#This Row],[Start Date]]),MONTH(Tabela1[[#This Row],[Start Date]]),1)</f>
        <v>45383</v>
      </c>
      <c r="O49" s="72">
        <f>YEAR(Tabela1[[#This Row],[Start Date]])</f>
        <v>2024</v>
      </c>
    </row>
    <row r="50" spans="1:15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79">
        <v>15</v>
      </c>
      <c r="G50" s="8" t="s">
        <v>20</v>
      </c>
      <c r="H50" s="8" t="s">
        <v>19</v>
      </c>
      <c r="I50" s="79">
        <v>30</v>
      </c>
      <c r="J50" s="8" t="s">
        <v>19</v>
      </c>
      <c r="K50" s="11">
        <v>20</v>
      </c>
      <c r="L50" s="11">
        <v>3</v>
      </c>
      <c r="M50" s="11">
        <v>62</v>
      </c>
      <c r="N50" s="71">
        <f>DATE(YEAR(Tabela1[[#This Row],[Start Date]]),MONTH(Tabela1[[#This Row],[Start Date]]),1)</f>
        <v>45383</v>
      </c>
      <c r="O50" s="72">
        <f>YEAR(Tabela1[[#This Row],[Start Date]])</f>
        <v>2024</v>
      </c>
    </row>
    <row r="51" spans="1:15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79">
        <v>10</v>
      </c>
      <c r="G51" s="8" t="s">
        <v>24</v>
      </c>
      <c r="H51" s="8" t="s">
        <v>23</v>
      </c>
      <c r="I51" s="79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71">
        <f>DATE(YEAR(Tabela1[[#This Row],[Start Date]]),MONTH(Tabela1[[#This Row],[Start Date]]),1)</f>
        <v>45383</v>
      </c>
      <c r="O51" s="72">
        <f>YEAR(Tabela1[[#This Row],[Start Date]])</f>
        <v>2024</v>
      </c>
    </row>
    <row r="52" spans="1:15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79">
        <v>5</v>
      </c>
      <c r="G52" s="8" t="s">
        <v>20</v>
      </c>
      <c r="H52" s="8" t="s">
        <v>23</v>
      </c>
      <c r="I52" s="79" t="s">
        <v>311</v>
      </c>
      <c r="J52" s="8" t="s">
        <v>23</v>
      </c>
      <c r="K52" s="11">
        <v>0</v>
      </c>
      <c r="L52" s="11">
        <v>1</v>
      </c>
      <c r="M52" s="11">
        <v>4</v>
      </c>
      <c r="N52" s="71">
        <f>DATE(YEAR(Tabela1[[#This Row],[Start Date]]),MONTH(Tabela1[[#This Row],[Start Date]]),1)</f>
        <v>45383</v>
      </c>
      <c r="O52" s="72">
        <f>YEAR(Tabela1[[#This Row],[Start Date]])</f>
        <v>2024</v>
      </c>
    </row>
    <row r="53" spans="1:15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79">
        <v>15</v>
      </c>
      <c r="G53" s="8" t="s">
        <v>27</v>
      </c>
      <c r="H53" s="8" t="s">
        <v>19</v>
      </c>
      <c r="I53" s="79">
        <v>30</v>
      </c>
      <c r="J53" s="8" t="s">
        <v>19</v>
      </c>
      <c r="K53" s="11">
        <v>20</v>
      </c>
      <c r="L53" s="11">
        <v>7</v>
      </c>
      <c r="M53" s="11">
        <v>58</v>
      </c>
      <c r="N53" s="71">
        <f>DATE(YEAR(Tabela1[[#This Row],[Start Date]]),MONTH(Tabela1[[#This Row],[Start Date]]),1)</f>
        <v>45383</v>
      </c>
      <c r="O53" s="72">
        <f>YEAR(Tabela1[[#This Row],[Start Date]])</f>
        <v>2024</v>
      </c>
    </row>
    <row r="54" spans="1:15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79">
        <v>10</v>
      </c>
      <c r="G54" s="8" t="s">
        <v>20</v>
      </c>
      <c r="H54" s="8" t="s">
        <v>23</v>
      </c>
      <c r="I54" s="79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71">
        <f>DATE(YEAR(Tabela1[[#This Row],[Start Date]]),MONTH(Tabela1[[#This Row],[Start Date]]),1)</f>
        <v>45383</v>
      </c>
      <c r="O54" s="72">
        <f>YEAR(Tabela1[[#This Row],[Start Date]])</f>
        <v>2024</v>
      </c>
    </row>
    <row r="55" spans="1:15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79">
        <v>5</v>
      </c>
      <c r="G55" s="8" t="s">
        <v>24</v>
      </c>
      <c r="H55" s="8" t="s">
        <v>23</v>
      </c>
      <c r="I55" s="79" t="s">
        <v>311</v>
      </c>
      <c r="J55" s="8" t="s">
        <v>23</v>
      </c>
      <c r="K55" s="11">
        <v>0</v>
      </c>
      <c r="L55" s="11">
        <v>0</v>
      </c>
      <c r="M55" s="11">
        <v>5</v>
      </c>
      <c r="N55" s="71">
        <f>DATE(YEAR(Tabela1[[#This Row],[Start Date]]),MONTH(Tabela1[[#This Row],[Start Date]]),1)</f>
        <v>45383</v>
      </c>
      <c r="O55" s="72">
        <f>YEAR(Tabela1[[#This Row],[Start Date]])</f>
        <v>2024</v>
      </c>
    </row>
    <row r="56" spans="1:15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79">
        <v>15</v>
      </c>
      <c r="G56" s="8" t="s">
        <v>20</v>
      </c>
      <c r="H56" s="8" t="s">
        <v>19</v>
      </c>
      <c r="I56" s="79">
        <v>30</v>
      </c>
      <c r="J56" s="8" t="s">
        <v>19</v>
      </c>
      <c r="K56" s="11">
        <v>20</v>
      </c>
      <c r="L56" s="11">
        <v>20</v>
      </c>
      <c r="M56" s="11">
        <v>45</v>
      </c>
      <c r="N56" s="71">
        <f>DATE(YEAR(Tabela1[[#This Row],[Start Date]]),MONTH(Tabela1[[#This Row],[Start Date]]),1)</f>
        <v>45383</v>
      </c>
      <c r="O56" s="72">
        <f>YEAR(Tabela1[[#This Row],[Start Date]])</f>
        <v>2024</v>
      </c>
    </row>
    <row r="57" spans="1:15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79">
        <v>10</v>
      </c>
      <c r="G57" s="8" t="s">
        <v>27</v>
      </c>
      <c r="H57" s="8" t="s">
        <v>23</v>
      </c>
      <c r="I57" s="79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71">
        <f>DATE(YEAR(Tabela1[[#This Row],[Start Date]]),MONTH(Tabela1[[#This Row],[Start Date]]),1)</f>
        <v>45383</v>
      </c>
      <c r="O57" s="72">
        <f>YEAR(Tabela1[[#This Row],[Start Date]])</f>
        <v>2024</v>
      </c>
    </row>
    <row r="58" spans="1:15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79">
        <v>5</v>
      </c>
      <c r="G58" s="8" t="s">
        <v>20</v>
      </c>
      <c r="H58" s="8" t="s">
        <v>23</v>
      </c>
      <c r="I58" s="79" t="s">
        <v>311</v>
      </c>
      <c r="J58" s="8" t="s">
        <v>23</v>
      </c>
      <c r="K58" s="11">
        <v>0</v>
      </c>
      <c r="L58" s="11">
        <v>1</v>
      </c>
      <c r="M58" s="11">
        <v>4</v>
      </c>
      <c r="N58" s="71">
        <f>DATE(YEAR(Tabela1[[#This Row],[Start Date]]),MONTH(Tabela1[[#This Row],[Start Date]]),1)</f>
        <v>45383</v>
      </c>
      <c r="O58" s="72">
        <f>YEAR(Tabela1[[#This Row],[Start Date]])</f>
        <v>2024</v>
      </c>
    </row>
    <row r="59" spans="1:15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79">
        <v>15</v>
      </c>
      <c r="G59" s="8" t="s">
        <v>24</v>
      </c>
      <c r="H59" s="8" t="s">
        <v>19</v>
      </c>
      <c r="I59" s="79">
        <v>30</v>
      </c>
      <c r="J59" s="8" t="s">
        <v>19</v>
      </c>
      <c r="K59" s="11">
        <v>20</v>
      </c>
      <c r="L59" s="11">
        <v>3</v>
      </c>
      <c r="M59" s="11">
        <v>62</v>
      </c>
      <c r="N59" s="71">
        <f>DATE(YEAR(Tabela1[[#This Row],[Start Date]]),MONTH(Tabela1[[#This Row],[Start Date]]),1)</f>
        <v>45383</v>
      </c>
      <c r="O59" s="72">
        <f>YEAR(Tabela1[[#This Row],[Start Date]])</f>
        <v>2024</v>
      </c>
    </row>
    <row r="60" spans="1:15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79">
        <v>10</v>
      </c>
      <c r="G60" s="8" t="s">
        <v>20</v>
      </c>
      <c r="H60" s="8" t="s">
        <v>23</v>
      </c>
      <c r="I60" s="79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71">
        <f>DATE(YEAR(Tabela1[[#This Row],[Start Date]]),MONTH(Tabela1[[#This Row],[Start Date]]),1)</f>
        <v>45383</v>
      </c>
      <c r="O60" s="72">
        <f>YEAR(Tabela1[[#This Row],[Start Date]])</f>
        <v>2024</v>
      </c>
    </row>
    <row r="61" spans="1:15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79">
        <v>5</v>
      </c>
      <c r="G61" s="8" t="s">
        <v>27</v>
      </c>
      <c r="H61" s="8" t="s">
        <v>23</v>
      </c>
      <c r="I61" s="79" t="s">
        <v>311</v>
      </c>
      <c r="J61" s="8" t="s">
        <v>23</v>
      </c>
      <c r="K61" s="11">
        <v>0</v>
      </c>
      <c r="L61" s="11">
        <v>0</v>
      </c>
      <c r="M61" s="11">
        <v>5</v>
      </c>
      <c r="N61" s="71">
        <f>DATE(YEAR(Tabela1[[#This Row],[Start Date]]),MONTH(Tabela1[[#This Row],[Start Date]]),1)</f>
        <v>45383</v>
      </c>
      <c r="O61" s="72">
        <f>YEAR(Tabela1[[#This Row],[Start Date]])</f>
        <v>2024</v>
      </c>
    </row>
    <row r="62" spans="1:15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79">
        <v>15</v>
      </c>
      <c r="G62" s="8" t="s">
        <v>20</v>
      </c>
      <c r="H62" s="8" t="s">
        <v>19</v>
      </c>
      <c r="I62" s="79">
        <v>30</v>
      </c>
      <c r="J62" s="8" t="s">
        <v>19</v>
      </c>
      <c r="K62" s="11">
        <v>20</v>
      </c>
      <c r="L62" s="11">
        <v>5</v>
      </c>
      <c r="M62" s="11">
        <v>60</v>
      </c>
      <c r="N62" s="71">
        <f>DATE(YEAR(Tabela1[[#This Row],[Start Date]]),MONTH(Tabela1[[#This Row],[Start Date]]),1)</f>
        <v>45383</v>
      </c>
      <c r="O62" s="72">
        <f>YEAR(Tabela1[[#This Row],[Start Date]])</f>
        <v>2024</v>
      </c>
    </row>
    <row r="63" spans="1:15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79">
        <v>10</v>
      </c>
      <c r="G63" s="8" t="s">
        <v>24</v>
      </c>
      <c r="H63" s="8" t="s">
        <v>23</v>
      </c>
      <c r="I63" s="79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71">
        <f>DATE(YEAR(Tabela1[[#This Row],[Start Date]]),MONTH(Tabela1[[#This Row],[Start Date]]),1)</f>
        <v>45383</v>
      </c>
      <c r="O63" s="72">
        <f>YEAR(Tabela1[[#This Row],[Start Date]])</f>
        <v>2024</v>
      </c>
    </row>
    <row r="64" spans="1:15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79">
        <v>5</v>
      </c>
      <c r="G64" s="8" t="s">
        <v>20</v>
      </c>
      <c r="H64" s="8" t="s">
        <v>23</v>
      </c>
      <c r="I64" s="79" t="s">
        <v>311</v>
      </c>
      <c r="J64" s="8" t="s">
        <v>23</v>
      </c>
      <c r="K64" s="11">
        <v>0</v>
      </c>
      <c r="L64" s="11">
        <v>1</v>
      </c>
      <c r="M64" s="11">
        <v>4</v>
      </c>
      <c r="N64" s="71">
        <f>DATE(YEAR(Tabela1[[#This Row],[Start Date]]),MONTH(Tabela1[[#This Row],[Start Date]]),1)</f>
        <v>45383</v>
      </c>
      <c r="O64" s="72">
        <f>YEAR(Tabela1[[#This Row],[Start Date]])</f>
        <v>2024</v>
      </c>
    </row>
    <row r="65" spans="1:15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79">
        <v>15</v>
      </c>
      <c r="G65" s="8" t="s">
        <v>27</v>
      </c>
      <c r="H65" s="8" t="s">
        <v>19</v>
      </c>
      <c r="I65" s="79">
        <v>30</v>
      </c>
      <c r="J65" s="8" t="s">
        <v>19</v>
      </c>
      <c r="K65" s="11">
        <v>20</v>
      </c>
      <c r="L65" s="11">
        <v>20</v>
      </c>
      <c r="M65" s="11">
        <v>45</v>
      </c>
      <c r="N65" s="71">
        <f>DATE(YEAR(Tabela1[[#This Row],[Start Date]]),MONTH(Tabela1[[#This Row],[Start Date]]),1)</f>
        <v>45383</v>
      </c>
      <c r="O65" s="72">
        <f>YEAR(Tabela1[[#This Row],[Start Date]])</f>
        <v>2024</v>
      </c>
    </row>
    <row r="66" spans="1:15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79">
        <v>10</v>
      </c>
      <c r="G66" s="8" t="s">
        <v>20</v>
      </c>
      <c r="H66" s="8" t="s">
        <v>23</v>
      </c>
      <c r="I66" s="79" t="s">
        <v>311</v>
      </c>
      <c r="J66" s="8" t="s">
        <v>19</v>
      </c>
      <c r="K66" s="11">
        <v>20</v>
      </c>
      <c r="L66" s="11">
        <v>5</v>
      </c>
      <c r="M66" s="11">
        <v>25</v>
      </c>
      <c r="N66" s="71">
        <f>DATE(YEAR(Tabela1[[#This Row],[Start Date]]),MONTH(Tabela1[[#This Row],[Start Date]]),1)</f>
        <v>45383</v>
      </c>
      <c r="O66" s="72">
        <f>YEAR(Tabela1[[#This Row],[Start Date]])</f>
        <v>2024</v>
      </c>
    </row>
    <row r="67" spans="1:15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79">
        <v>5</v>
      </c>
      <c r="G67" s="8" t="s">
        <v>20</v>
      </c>
      <c r="H67" s="8" t="s">
        <v>23</v>
      </c>
      <c r="I67" s="79" t="s">
        <v>311</v>
      </c>
      <c r="J67" s="8" t="s">
        <v>23</v>
      </c>
      <c r="K67" s="11">
        <v>0</v>
      </c>
      <c r="L67" s="11">
        <v>0</v>
      </c>
      <c r="M67" s="11">
        <v>5</v>
      </c>
      <c r="N67" s="71">
        <f>DATE(YEAR(Tabela1[[#This Row],[Start Date]]),MONTH(Tabela1[[#This Row],[Start Date]]),1)</f>
        <v>45413</v>
      </c>
      <c r="O67" s="72">
        <f>YEAR(Tabela1[[#This Row],[Start Date]])</f>
        <v>2024</v>
      </c>
    </row>
    <row r="68" spans="1:15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79">
        <v>15</v>
      </c>
      <c r="G68" s="8" t="s">
        <v>27</v>
      </c>
      <c r="H68" s="8" t="s">
        <v>19</v>
      </c>
      <c r="I68" s="79">
        <v>30</v>
      </c>
      <c r="J68" s="8" t="s">
        <v>19</v>
      </c>
      <c r="K68" s="11">
        <v>20</v>
      </c>
      <c r="L68" s="11">
        <v>7</v>
      </c>
      <c r="M68" s="11">
        <v>58</v>
      </c>
      <c r="N68" s="71">
        <f>DATE(YEAR(Tabela1[[#This Row],[Start Date]]),MONTH(Tabela1[[#This Row],[Start Date]]),1)</f>
        <v>45413</v>
      </c>
      <c r="O68" s="72">
        <f>YEAR(Tabela1[[#This Row],[Start Date]])</f>
        <v>2024</v>
      </c>
    </row>
    <row r="69" spans="1:15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79">
        <v>10</v>
      </c>
      <c r="G69" s="8" t="s">
        <v>24</v>
      </c>
      <c r="H69" s="8" t="s">
        <v>23</v>
      </c>
      <c r="I69" s="79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71">
        <f>DATE(YEAR(Tabela1[[#This Row],[Start Date]]),MONTH(Tabela1[[#This Row],[Start Date]]),1)</f>
        <v>45413</v>
      </c>
      <c r="O69" s="72">
        <f>YEAR(Tabela1[[#This Row],[Start Date]])</f>
        <v>2024</v>
      </c>
    </row>
    <row r="70" spans="1:15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79">
        <v>5</v>
      </c>
      <c r="G70" s="8" t="s">
        <v>27</v>
      </c>
      <c r="H70" s="8" t="s">
        <v>23</v>
      </c>
      <c r="I70" s="79" t="s">
        <v>311</v>
      </c>
      <c r="J70" s="8" t="s">
        <v>23</v>
      </c>
      <c r="K70" s="11">
        <v>0</v>
      </c>
      <c r="L70" s="11">
        <v>1</v>
      </c>
      <c r="M70" s="11">
        <v>4</v>
      </c>
      <c r="N70" s="71">
        <f>DATE(YEAR(Tabela1[[#This Row],[Start Date]]),MONTH(Tabela1[[#This Row],[Start Date]]),1)</f>
        <v>45413</v>
      </c>
      <c r="O70" s="72">
        <f>YEAR(Tabela1[[#This Row],[Start Date]])</f>
        <v>2024</v>
      </c>
    </row>
    <row r="71" spans="1:15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79">
        <v>15</v>
      </c>
      <c r="G71" s="8" t="s">
        <v>20</v>
      </c>
      <c r="H71" s="8" t="s">
        <v>19</v>
      </c>
      <c r="I71" s="79">
        <v>30</v>
      </c>
      <c r="J71" s="8" t="s">
        <v>19</v>
      </c>
      <c r="K71" s="11">
        <v>20</v>
      </c>
      <c r="L71" s="11">
        <v>15</v>
      </c>
      <c r="M71" s="11">
        <v>50</v>
      </c>
      <c r="N71" s="71">
        <f>DATE(YEAR(Tabela1[[#This Row],[Start Date]]),MONTH(Tabela1[[#This Row],[Start Date]]),1)</f>
        <v>45413</v>
      </c>
      <c r="O71" s="72">
        <f>YEAR(Tabela1[[#This Row],[Start Date]])</f>
        <v>2024</v>
      </c>
    </row>
    <row r="72" spans="1:15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79">
        <v>10</v>
      </c>
      <c r="G72" s="8" t="s">
        <v>20</v>
      </c>
      <c r="H72" s="8" t="s">
        <v>23</v>
      </c>
      <c r="I72" s="79" t="s">
        <v>311</v>
      </c>
      <c r="J72" s="8" t="s">
        <v>19</v>
      </c>
      <c r="K72" s="11">
        <v>20</v>
      </c>
      <c r="L72" s="11">
        <v>5</v>
      </c>
      <c r="M72" s="11">
        <v>25</v>
      </c>
      <c r="N72" s="71">
        <f>DATE(YEAR(Tabela1[[#This Row],[Start Date]]),MONTH(Tabela1[[#This Row],[Start Date]]),1)</f>
        <v>45413</v>
      </c>
      <c r="O72" s="72">
        <f>YEAR(Tabela1[[#This Row],[Start Date]])</f>
        <v>2024</v>
      </c>
    </row>
    <row r="73" spans="1:15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79">
        <v>5</v>
      </c>
      <c r="G73" s="8" t="s">
        <v>24</v>
      </c>
      <c r="H73" s="8" t="s">
        <v>23</v>
      </c>
      <c r="I73" s="79" t="s">
        <v>311</v>
      </c>
      <c r="J73" s="8" t="s">
        <v>23</v>
      </c>
      <c r="K73" s="11">
        <v>0</v>
      </c>
      <c r="L73" s="11">
        <v>0</v>
      </c>
      <c r="M73" s="11">
        <v>5</v>
      </c>
      <c r="N73" s="71">
        <f>DATE(YEAR(Tabela1[[#This Row],[Start Date]]),MONTH(Tabela1[[#This Row],[Start Date]]),1)</f>
        <v>45413</v>
      </c>
      <c r="O73" s="72">
        <f>YEAR(Tabela1[[#This Row],[Start Date]])</f>
        <v>2024</v>
      </c>
    </row>
    <row r="74" spans="1:15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79">
        <v>15</v>
      </c>
      <c r="G74" s="8" t="s">
        <v>27</v>
      </c>
      <c r="H74" s="8" t="s">
        <v>19</v>
      </c>
      <c r="I74" s="79">
        <v>30</v>
      </c>
      <c r="J74" s="8" t="s">
        <v>19</v>
      </c>
      <c r="K74" s="11">
        <v>20</v>
      </c>
      <c r="L74" s="11">
        <v>20</v>
      </c>
      <c r="M74" s="11">
        <v>45</v>
      </c>
      <c r="N74" s="71">
        <f>DATE(YEAR(Tabela1[[#This Row],[Start Date]]),MONTH(Tabela1[[#This Row],[Start Date]]),1)</f>
        <v>45413</v>
      </c>
      <c r="O74" s="72">
        <f>YEAR(Tabela1[[#This Row],[Start Date]])</f>
        <v>2024</v>
      </c>
    </row>
    <row r="75" spans="1:15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79">
        <v>10</v>
      </c>
      <c r="G75" s="8" t="s">
        <v>27</v>
      </c>
      <c r="H75" s="8" t="s">
        <v>23</v>
      </c>
      <c r="I75" s="79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71">
        <f>DATE(YEAR(Tabela1[[#This Row],[Start Date]]),MONTH(Tabela1[[#This Row],[Start Date]]),1)</f>
        <v>45413</v>
      </c>
      <c r="O75" s="72">
        <f>YEAR(Tabela1[[#This Row],[Start Date]])</f>
        <v>2024</v>
      </c>
    </row>
    <row r="76" spans="1:15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79">
        <v>5</v>
      </c>
      <c r="G76" s="8" t="s">
        <v>20</v>
      </c>
      <c r="H76" s="8" t="s">
        <v>23</v>
      </c>
      <c r="I76" s="79" t="s">
        <v>311</v>
      </c>
      <c r="J76" s="8" t="s">
        <v>23</v>
      </c>
      <c r="K76" s="11">
        <v>0</v>
      </c>
      <c r="L76" s="11">
        <v>2</v>
      </c>
      <c r="M76" s="11">
        <v>3</v>
      </c>
      <c r="N76" s="71">
        <f>DATE(YEAR(Tabela1[[#This Row],[Start Date]]),MONTH(Tabela1[[#This Row],[Start Date]]),1)</f>
        <v>45413</v>
      </c>
      <c r="O76" s="72">
        <f>YEAR(Tabela1[[#This Row],[Start Date]])</f>
        <v>2024</v>
      </c>
    </row>
    <row r="77" spans="1:15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79">
        <v>15</v>
      </c>
      <c r="G77" s="8" t="s">
        <v>24</v>
      </c>
      <c r="H77" s="8" t="s">
        <v>19</v>
      </c>
      <c r="I77" s="79">
        <v>30</v>
      </c>
      <c r="J77" s="8" t="s">
        <v>19</v>
      </c>
      <c r="K77" s="11">
        <v>20</v>
      </c>
      <c r="L77" s="11">
        <v>5</v>
      </c>
      <c r="M77" s="11">
        <v>60</v>
      </c>
      <c r="N77" s="71">
        <f>DATE(YEAR(Tabela1[[#This Row],[Start Date]]),MONTH(Tabela1[[#This Row],[Start Date]]),1)</f>
        <v>45413</v>
      </c>
      <c r="O77" s="72">
        <f>YEAR(Tabela1[[#This Row],[Start Date]])</f>
        <v>2024</v>
      </c>
    </row>
    <row r="78" spans="1:15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79">
        <v>10</v>
      </c>
      <c r="G78" s="8" t="s">
        <v>20</v>
      </c>
      <c r="H78" s="8" t="s">
        <v>23</v>
      </c>
      <c r="I78" s="79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71">
        <f>DATE(YEAR(Tabela1[[#This Row],[Start Date]]),MONTH(Tabela1[[#This Row],[Start Date]]),1)</f>
        <v>45413</v>
      </c>
      <c r="O78" s="72">
        <f>YEAR(Tabela1[[#This Row],[Start Date]])</f>
        <v>2024</v>
      </c>
    </row>
    <row r="79" spans="1:15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79">
        <v>5</v>
      </c>
      <c r="G79" s="8" t="s">
        <v>27</v>
      </c>
      <c r="H79" s="8" t="s">
        <v>23</v>
      </c>
      <c r="I79" s="79" t="s">
        <v>311</v>
      </c>
      <c r="J79" s="8" t="s">
        <v>23</v>
      </c>
      <c r="K79" s="11">
        <v>0</v>
      </c>
      <c r="L79" s="11">
        <v>0</v>
      </c>
      <c r="M79" s="11">
        <v>5</v>
      </c>
      <c r="N79" s="71">
        <f>DATE(YEAR(Tabela1[[#This Row],[Start Date]]),MONTH(Tabela1[[#This Row],[Start Date]]),1)</f>
        <v>45413</v>
      </c>
      <c r="O79" s="72">
        <f>YEAR(Tabela1[[#This Row],[Start Date]])</f>
        <v>2024</v>
      </c>
    </row>
    <row r="80" spans="1:15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79">
        <v>15</v>
      </c>
      <c r="G80" s="8" t="s">
        <v>20</v>
      </c>
      <c r="H80" s="8" t="s">
        <v>19</v>
      </c>
      <c r="I80" s="79">
        <v>30</v>
      </c>
      <c r="J80" s="8" t="s">
        <v>19</v>
      </c>
      <c r="K80" s="11">
        <v>20</v>
      </c>
      <c r="L80" s="11">
        <v>3</v>
      </c>
      <c r="M80" s="11">
        <v>62</v>
      </c>
      <c r="N80" s="71">
        <f>DATE(YEAR(Tabela1[[#This Row],[Start Date]]),MONTH(Tabela1[[#This Row],[Start Date]]),1)</f>
        <v>45413</v>
      </c>
      <c r="O80" s="72">
        <f>YEAR(Tabela1[[#This Row],[Start Date]])</f>
        <v>2024</v>
      </c>
    </row>
    <row r="81" spans="1:15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79">
        <v>10</v>
      </c>
      <c r="G81" s="8" t="s">
        <v>24</v>
      </c>
      <c r="H81" s="8" t="s">
        <v>23</v>
      </c>
      <c r="I81" s="79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71">
        <f>DATE(YEAR(Tabela1[[#This Row],[Start Date]]),MONTH(Tabela1[[#This Row],[Start Date]]),1)</f>
        <v>45413</v>
      </c>
      <c r="O81" s="72">
        <f>YEAR(Tabela1[[#This Row],[Start Date]])</f>
        <v>2024</v>
      </c>
    </row>
    <row r="82" spans="1:15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79">
        <v>5</v>
      </c>
      <c r="G82" s="8" t="s">
        <v>20</v>
      </c>
      <c r="H82" s="8" t="s">
        <v>23</v>
      </c>
      <c r="I82" s="79" t="s">
        <v>311</v>
      </c>
      <c r="J82" s="8" t="s">
        <v>23</v>
      </c>
      <c r="K82" s="11">
        <v>0</v>
      </c>
      <c r="L82" s="11">
        <v>1</v>
      </c>
      <c r="M82" s="11">
        <v>4</v>
      </c>
      <c r="N82" s="71">
        <f>DATE(YEAR(Tabela1[[#This Row],[Start Date]]),MONTH(Tabela1[[#This Row],[Start Date]]),1)</f>
        <v>45413</v>
      </c>
      <c r="O82" s="72">
        <f>YEAR(Tabela1[[#This Row],[Start Date]])</f>
        <v>2024</v>
      </c>
    </row>
    <row r="83" spans="1:15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79">
        <v>15</v>
      </c>
      <c r="G83" s="8" t="s">
        <v>27</v>
      </c>
      <c r="H83" s="8" t="s">
        <v>19</v>
      </c>
      <c r="I83" s="79">
        <v>30</v>
      </c>
      <c r="J83" s="8" t="s">
        <v>19</v>
      </c>
      <c r="K83" s="11">
        <v>20</v>
      </c>
      <c r="L83" s="11">
        <v>7</v>
      </c>
      <c r="M83" s="11">
        <v>58</v>
      </c>
      <c r="N83" s="71">
        <f>DATE(YEAR(Tabela1[[#This Row],[Start Date]]),MONTH(Tabela1[[#This Row],[Start Date]]),1)</f>
        <v>45413</v>
      </c>
      <c r="O83" s="72">
        <f>YEAR(Tabela1[[#This Row],[Start Date]])</f>
        <v>2024</v>
      </c>
    </row>
    <row r="84" spans="1:15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79">
        <v>10</v>
      </c>
      <c r="G84" s="8" t="s">
        <v>20</v>
      </c>
      <c r="H84" s="8" t="s">
        <v>23</v>
      </c>
      <c r="I84" s="79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71">
        <f>DATE(YEAR(Tabela1[[#This Row],[Start Date]]),MONTH(Tabela1[[#This Row],[Start Date]]),1)</f>
        <v>45413</v>
      </c>
      <c r="O84" s="72">
        <f>YEAR(Tabela1[[#This Row],[Start Date]])</f>
        <v>2024</v>
      </c>
    </row>
    <row r="85" spans="1:15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79">
        <v>5</v>
      </c>
      <c r="G85" s="8" t="s">
        <v>24</v>
      </c>
      <c r="H85" s="8" t="s">
        <v>23</v>
      </c>
      <c r="I85" s="79" t="s">
        <v>311</v>
      </c>
      <c r="J85" s="8" t="s">
        <v>23</v>
      </c>
      <c r="K85" s="11">
        <v>0</v>
      </c>
      <c r="L85" s="11">
        <v>0</v>
      </c>
      <c r="M85" s="11">
        <v>5</v>
      </c>
      <c r="N85" s="71">
        <f>DATE(YEAR(Tabela1[[#This Row],[Start Date]]),MONTH(Tabela1[[#This Row],[Start Date]]),1)</f>
        <v>45413</v>
      </c>
      <c r="O85" s="72">
        <f>YEAR(Tabela1[[#This Row],[Start Date]])</f>
        <v>2024</v>
      </c>
    </row>
    <row r="86" spans="1:15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79">
        <v>15</v>
      </c>
      <c r="G86" s="8" t="s">
        <v>20</v>
      </c>
      <c r="H86" s="8" t="s">
        <v>19</v>
      </c>
      <c r="I86" s="79">
        <v>30</v>
      </c>
      <c r="J86" s="8" t="s">
        <v>19</v>
      </c>
      <c r="K86" s="11">
        <v>20</v>
      </c>
      <c r="L86" s="11">
        <v>20</v>
      </c>
      <c r="M86" s="11">
        <v>45</v>
      </c>
      <c r="N86" s="71">
        <f>DATE(YEAR(Tabela1[[#This Row],[Start Date]]),MONTH(Tabela1[[#This Row],[Start Date]]),1)</f>
        <v>45413</v>
      </c>
      <c r="O86" s="72">
        <f>YEAR(Tabela1[[#This Row],[Start Date]])</f>
        <v>2024</v>
      </c>
    </row>
    <row r="87" spans="1:15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79">
        <v>10</v>
      </c>
      <c r="G87" s="8" t="s">
        <v>27</v>
      </c>
      <c r="H87" s="8" t="s">
        <v>23</v>
      </c>
      <c r="I87" s="79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71">
        <f>DATE(YEAR(Tabela1[[#This Row],[Start Date]]),MONTH(Tabela1[[#This Row],[Start Date]]),1)</f>
        <v>45413</v>
      </c>
      <c r="O87" s="72">
        <f>YEAR(Tabela1[[#This Row],[Start Date]])</f>
        <v>2024</v>
      </c>
    </row>
    <row r="88" spans="1:15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79">
        <v>5</v>
      </c>
      <c r="G88" s="8" t="s">
        <v>20</v>
      </c>
      <c r="H88" s="8" t="s">
        <v>23</v>
      </c>
      <c r="I88" s="79" t="s">
        <v>311</v>
      </c>
      <c r="J88" s="8" t="s">
        <v>23</v>
      </c>
      <c r="K88" s="11">
        <v>0</v>
      </c>
      <c r="L88" s="11">
        <v>1</v>
      </c>
      <c r="M88" s="11">
        <v>4</v>
      </c>
      <c r="N88" s="71">
        <f>DATE(YEAR(Tabela1[[#This Row],[Start Date]]),MONTH(Tabela1[[#This Row],[Start Date]]),1)</f>
        <v>45413</v>
      </c>
      <c r="O88" s="72">
        <f>YEAR(Tabela1[[#This Row],[Start Date]])</f>
        <v>2024</v>
      </c>
    </row>
    <row r="89" spans="1:15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79">
        <v>15</v>
      </c>
      <c r="G89" s="8" t="s">
        <v>24</v>
      </c>
      <c r="H89" s="8" t="s">
        <v>19</v>
      </c>
      <c r="I89" s="79">
        <v>30</v>
      </c>
      <c r="J89" s="8" t="s">
        <v>19</v>
      </c>
      <c r="K89" s="11">
        <v>20</v>
      </c>
      <c r="L89" s="11">
        <v>3</v>
      </c>
      <c r="M89" s="11">
        <v>62</v>
      </c>
      <c r="N89" s="71">
        <f>DATE(YEAR(Tabela1[[#This Row],[Start Date]]),MONTH(Tabela1[[#This Row],[Start Date]]),1)</f>
        <v>45413</v>
      </c>
      <c r="O89" s="72">
        <f>YEAR(Tabela1[[#This Row],[Start Date]])</f>
        <v>2024</v>
      </c>
    </row>
    <row r="90" spans="1:15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79">
        <v>10</v>
      </c>
      <c r="G90" s="8" t="s">
        <v>20</v>
      </c>
      <c r="H90" s="8" t="s">
        <v>23</v>
      </c>
      <c r="I90" s="79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71">
        <f>DATE(YEAR(Tabela1[[#This Row],[Start Date]]),MONTH(Tabela1[[#This Row],[Start Date]]),1)</f>
        <v>45413</v>
      </c>
      <c r="O90" s="72">
        <f>YEAR(Tabela1[[#This Row],[Start Date]])</f>
        <v>2024</v>
      </c>
    </row>
    <row r="91" spans="1:15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79">
        <v>5</v>
      </c>
      <c r="G91" s="8" t="s">
        <v>27</v>
      </c>
      <c r="H91" s="8" t="s">
        <v>23</v>
      </c>
      <c r="I91" s="79" t="s">
        <v>311</v>
      </c>
      <c r="J91" s="8" t="s">
        <v>23</v>
      </c>
      <c r="K91" s="11">
        <v>0</v>
      </c>
      <c r="L91" s="11">
        <v>0</v>
      </c>
      <c r="M91" s="11">
        <v>5</v>
      </c>
      <c r="N91" s="71">
        <f>DATE(YEAR(Tabela1[[#This Row],[Start Date]]),MONTH(Tabela1[[#This Row],[Start Date]]),1)</f>
        <v>45413</v>
      </c>
      <c r="O91" s="72">
        <f>YEAR(Tabela1[[#This Row],[Start Date]])</f>
        <v>2024</v>
      </c>
    </row>
    <row r="92" spans="1:15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79">
        <v>15</v>
      </c>
      <c r="G92" s="8" t="s">
        <v>20</v>
      </c>
      <c r="H92" s="8" t="s">
        <v>19</v>
      </c>
      <c r="I92" s="79">
        <v>30</v>
      </c>
      <c r="J92" s="8" t="s">
        <v>19</v>
      </c>
      <c r="K92" s="11">
        <v>20</v>
      </c>
      <c r="L92" s="11">
        <v>5</v>
      </c>
      <c r="M92" s="11">
        <v>60</v>
      </c>
      <c r="N92" s="71">
        <f>DATE(YEAR(Tabela1[[#This Row],[Start Date]]),MONTH(Tabela1[[#This Row],[Start Date]]),1)</f>
        <v>45413</v>
      </c>
      <c r="O92" s="72">
        <f>YEAR(Tabela1[[#This Row],[Start Date]])</f>
        <v>2024</v>
      </c>
    </row>
    <row r="93" spans="1:15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79">
        <v>10</v>
      </c>
      <c r="G93" s="8" t="s">
        <v>24</v>
      </c>
      <c r="H93" s="8" t="s">
        <v>23</v>
      </c>
      <c r="I93" s="79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71">
        <f>DATE(YEAR(Tabela1[[#This Row],[Start Date]]),MONTH(Tabela1[[#This Row],[Start Date]]),1)</f>
        <v>45413</v>
      </c>
      <c r="O93" s="72">
        <f>YEAR(Tabela1[[#This Row],[Start Date]])</f>
        <v>2024</v>
      </c>
    </row>
    <row r="94" spans="1:15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79">
        <v>5</v>
      </c>
      <c r="G94" s="8" t="s">
        <v>20</v>
      </c>
      <c r="H94" s="8" t="s">
        <v>23</v>
      </c>
      <c r="I94" s="79" t="s">
        <v>311</v>
      </c>
      <c r="J94" s="8" t="s">
        <v>23</v>
      </c>
      <c r="K94" s="11">
        <v>0</v>
      </c>
      <c r="L94" s="11">
        <v>1</v>
      </c>
      <c r="M94" s="11">
        <v>4</v>
      </c>
      <c r="N94" s="71">
        <f>DATE(YEAR(Tabela1[[#This Row],[Start Date]]),MONTH(Tabela1[[#This Row],[Start Date]]),1)</f>
        <v>45413</v>
      </c>
      <c r="O94" s="72">
        <f>YEAR(Tabela1[[#This Row],[Start Date]])</f>
        <v>2024</v>
      </c>
    </row>
    <row r="95" spans="1:15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79">
        <v>15</v>
      </c>
      <c r="G95" s="8" t="s">
        <v>27</v>
      </c>
      <c r="H95" s="8" t="s">
        <v>19</v>
      </c>
      <c r="I95" s="79">
        <v>30</v>
      </c>
      <c r="J95" s="8" t="s">
        <v>19</v>
      </c>
      <c r="K95" s="11">
        <v>20</v>
      </c>
      <c r="L95" s="11">
        <v>20</v>
      </c>
      <c r="M95" s="11">
        <v>45</v>
      </c>
      <c r="N95" s="71">
        <f>DATE(YEAR(Tabela1[[#This Row],[Start Date]]),MONTH(Tabela1[[#This Row],[Start Date]]),1)</f>
        <v>45413</v>
      </c>
      <c r="O95" s="72">
        <f>YEAR(Tabela1[[#This Row],[Start Date]])</f>
        <v>2024</v>
      </c>
    </row>
    <row r="96" spans="1:15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79">
        <v>10</v>
      </c>
      <c r="G96" s="8" t="s">
        <v>27</v>
      </c>
      <c r="H96" s="8" t="s">
        <v>23</v>
      </c>
      <c r="I96" s="79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71">
        <f>DATE(YEAR(Tabela1[[#This Row],[Start Date]]),MONTH(Tabela1[[#This Row],[Start Date]]),1)</f>
        <v>45413</v>
      </c>
      <c r="O96" s="72">
        <f>YEAR(Tabela1[[#This Row],[Start Date]])</f>
        <v>2024</v>
      </c>
    </row>
    <row r="97" spans="1:15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79">
        <v>5</v>
      </c>
      <c r="G97" s="8" t="s">
        <v>24</v>
      </c>
      <c r="H97" s="8" t="s">
        <v>23</v>
      </c>
      <c r="I97" s="79" t="s">
        <v>311</v>
      </c>
      <c r="J97" s="8" t="s">
        <v>23</v>
      </c>
      <c r="K97" s="11">
        <v>0</v>
      </c>
      <c r="L97" s="11">
        <v>0</v>
      </c>
      <c r="M97" s="11">
        <v>5</v>
      </c>
      <c r="N97" s="71">
        <f>DATE(YEAR(Tabela1[[#This Row],[Start Date]]),MONTH(Tabela1[[#This Row],[Start Date]]),1)</f>
        <v>45413</v>
      </c>
      <c r="O97" s="72">
        <f>YEAR(Tabela1[[#This Row],[Start Date]])</f>
        <v>2024</v>
      </c>
    </row>
    <row r="98" spans="1:15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79">
        <v>15</v>
      </c>
      <c r="G98" s="8" t="s">
        <v>20</v>
      </c>
      <c r="H98" s="8" t="s">
        <v>19</v>
      </c>
      <c r="I98" s="79">
        <v>30</v>
      </c>
      <c r="J98" s="8" t="s">
        <v>19</v>
      </c>
      <c r="K98" s="11">
        <v>20</v>
      </c>
      <c r="L98" s="11">
        <v>7</v>
      </c>
      <c r="M98" s="11">
        <v>58</v>
      </c>
      <c r="N98" s="71">
        <f>DATE(YEAR(Tabela1[[#This Row],[Start Date]]),MONTH(Tabela1[[#This Row],[Start Date]]),1)</f>
        <v>45444</v>
      </c>
      <c r="O98" s="72">
        <f>YEAR(Tabela1[[#This Row],[Start Date]])</f>
        <v>2024</v>
      </c>
    </row>
    <row r="99" spans="1:15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79">
        <v>10</v>
      </c>
      <c r="G99" s="8" t="s">
        <v>24</v>
      </c>
      <c r="H99" s="8" t="s">
        <v>23</v>
      </c>
      <c r="I99" s="79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71">
        <f>DATE(YEAR(Tabela1[[#This Row],[Start Date]]),MONTH(Tabela1[[#This Row],[Start Date]]),1)</f>
        <v>45444</v>
      </c>
      <c r="O99" s="72">
        <f>YEAR(Tabela1[[#This Row],[Start Date]])</f>
        <v>2024</v>
      </c>
    </row>
    <row r="100" spans="1:15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79">
        <v>5</v>
      </c>
      <c r="G100" s="8" t="s">
        <v>27</v>
      </c>
      <c r="H100" s="8" t="s">
        <v>23</v>
      </c>
      <c r="I100" s="79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71">
        <f>DATE(YEAR(Tabela1[[#This Row],[Start Date]]),MONTH(Tabela1[[#This Row],[Start Date]]),1)</f>
        <v>45444</v>
      </c>
      <c r="O100" s="72">
        <f>YEAR(Tabela1[[#This Row],[Start Date]])</f>
        <v>2024</v>
      </c>
    </row>
    <row r="101" spans="1:15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79">
        <v>15</v>
      </c>
      <c r="G101" s="8" t="s">
        <v>20</v>
      </c>
      <c r="H101" s="8" t="s">
        <v>19</v>
      </c>
      <c r="I101" s="79">
        <v>30</v>
      </c>
      <c r="J101" s="8" t="s">
        <v>19</v>
      </c>
      <c r="K101" s="11">
        <v>20</v>
      </c>
      <c r="L101" s="11">
        <v>15</v>
      </c>
      <c r="M101" s="11">
        <v>50</v>
      </c>
      <c r="N101" s="71">
        <f>DATE(YEAR(Tabela1[[#This Row],[Start Date]]),MONTH(Tabela1[[#This Row],[Start Date]]),1)</f>
        <v>45444</v>
      </c>
      <c r="O101" s="72">
        <f>YEAR(Tabela1[[#This Row],[Start Date]])</f>
        <v>2024</v>
      </c>
    </row>
    <row r="102" spans="1:15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79">
        <v>10</v>
      </c>
      <c r="G102" s="8" t="s">
        <v>20</v>
      </c>
      <c r="H102" s="8" t="s">
        <v>23</v>
      </c>
      <c r="I102" s="79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71">
        <f>DATE(YEAR(Tabela1[[#This Row],[Start Date]]),MONTH(Tabela1[[#This Row],[Start Date]]),1)</f>
        <v>45444</v>
      </c>
      <c r="O102" s="72">
        <f>YEAR(Tabela1[[#This Row],[Start Date]])</f>
        <v>2024</v>
      </c>
    </row>
    <row r="103" spans="1:15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79">
        <v>5</v>
      </c>
      <c r="G103" s="8" t="s">
        <v>24</v>
      </c>
      <c r="H103" s="8" t="s">
        <v>23</v>
      </c>
      <c r="I103" s="79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71">
        <f>DATE(YEAR(Tabela1[[#This Row],[Start Date]]),MONTH(Tabela1[[#This Row],[Start Date]]),1)</f>
        <v>45444</v>
      </c>
      <c r="O103" s="72">
        <f>YEAR(Tabela1[[#This Row],[Start Date]])</f>
        <v>2024</v>
      </c>
    </row>
    <row r="104" spans="1:15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79">
        <v>15</v>
      </c>
      <c r="G104" s="8" t="s">
        <v>27</v>
      </c>
      <c r="H104" s="8" t="s">
        <v>19</v>
      </c>
      <c r="I104" s="79">
        <v>30</v>
      </c>
      <c r="J104" s="8" t="s">
        <v>19</v>
      </c>
      <c r="K104" s="11">
        <v>20</v>
      </c>
      <c r="L104" s="11">
        <v>20</v>
      </c>
      <c r="M104" s="11">
        <v>45</v>
      </c>
      <c r="N104" s="71">
        <f>DATE(YEAR(Tabela1[[#This Row],[Start Date]]),MONTH(Tabela1[[#This Row],[Start Date]]),1)</f>
        <v>45444</v>
      </c>
      <c r="O104" s="72">
        <f>YEAR(Tabela1[[#This Row],[Start Date]])</f>
        <v>2024</v>
      </c>
    </row>
    <row r="105" spans="1:15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79">
        <v>10</v>
      </c>
      <c r="G105" s="8" t="s">
        <v>27</v>
      </c>
      <c r="H105" s="8" t="s">
        <v>23</v>
      </c>
      <c r="I105" s="79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71">
        <f>DATE(YEAR(Tabela1[[#This Row],[Start Date]]),MONTH(Tabela1[[#This Row],[Start Date]]),1)</f>
        <v>45444</v>
      </c>
      <c r="O105" s="72">
        <f>YEAR(Tabela1[[#This Row],[Start Date]])</f>
        <v>2024</v>
      </c>
    </row>
    <row r="106" spans="1:15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79">
        <v>5</v>
      </c>
      <c r="G106" s="8" t="s">
        <v>20</v>
      </c>
      <c r="H106" s="8" t="s">
        <v>23</v>
      </c>
      <c r="I106" s="79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71">
        <f>DATE(YEAR(Tabela1[[#This Row],[Start Date]]),MONTH(Tabela1[[#This Row],[Start Date]]),1)</f>
        <v>45444</v>
      </c>
      <c r="O106" s="72">
        <f>YEAR(Tabela1[[#This Row],[Start Date]])</f>
        <v>2024</v>
      </c>
    </row>
    <row r="107" spans="1:15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79">
        <v>5</v>
      </c>
      <c r="G107" s="8" t="s">
        <v>20</v>
      </c>
      <c r="H107" s="8" t="s">
        <v>23</v>
      </c>
      <c r="I107" s="79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71">
        <f>DATE(YEAR(Tabela1[[#This Row],[Start Date]]),MONTH(Tabela1[[#This Row],[Start Date]]),1)</f>
        <v>45444</v>
      </c>
      <c r="O107" s="72">
        <f>YEAR(Tabela1[[#This Row],[Start Date]])</f>
        <v>2024</v>
      </c>
    </row>
    <row r="108" spans="1:15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79">
        <v>15</v>
      </c>
      <c r="G108" s="8" t="s">
        <v>27</v>
      </c>
      <c r="H108" s="8" t="s">
        <v>19</v>
      </c>
      <c r="I108" s="79">
        <v>30</v>
      </c>
      <c r="J108" s="8" t="s">
        <v>19</v>
      </c>
      <c r="K108" s="11">
        <v>20</v>
      </c>
      <c r="L108" s="11">
        <v>7</v>
      </c>
      <c r="M108" s="11">
        <v>58</v>
      </c>
      <c r="N108" s="71">
        <f>DATE(YEAR(Tabela1[[#This Row],[Start Date]]),MONTH(Tabela1[[#This Row],[Start Date]]),1)</f>
        <v>45444</v>
      </c>
      <c r="O108" s="72">
        <f>YEAR(Tabela1[[#This Row],[Start Date]])</f>
        <v>2024</v>
      </c>
    </row>
    <row r="109" spans="1:15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79">
        <v>10</v>
      </c>
      <c r="G109" s="8" t="s">
        <v>24</v>
      </c>
      <c r="H109" s="8" t="s">
        <v>23</v>
      </c>
      <c r="I109" s="79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71">
        <f>DATE(YEAR(Tabela1[[#This Row],[Start Date]]),MONTH(Tabela1[[#This Row],[Start Date]]),1)</f>
        <v>45444</v>
      </c>
      <c r="O109" s="72">
        <f>YEAR(Tabela1[[#This Row],[Start Date]])</f>
        <v>2024</v>
      </c>
    </row>
    <row r="110" spans="1:15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79">
        <v>5</v>
      </c>
      <c r="G110" s="8" t="s">
        <v>27</v>
      </c>
      <c r="H110" s="8" t="s">
        <v>23</v>
      </c>
      <c r="I110" s="79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71">
        <f>DATE(YEAR(Tabela1[[#This Row],[Start Date]]),MONTH(Tabela1[[#This Row],[Start Date]]),1)</f>
        <v>45444</v>
      </c>
      <c r="O110" s="72">
        <f>YEAR(Tabela1[[#This Row],[Start Date]])</f>
        <v>2024</v>
      </c>
    </row>
    <row r="111" spans="1:15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79">
        <v>15</v>
      </c>
      <c r="G111" s="8" t="s">
        <v>20</v>
      </c>
      <c r="H111" s="8" t="s">
        <v>19</v>
      </c>
      <c r="I111" s="79">
        <v>30</v>
      </c>
      <c r="J111" s="8" t="s">
        <v>19</v>
      </c>
      <c r="K111" s="11">
        <v>20</v>
      </c>
      <c r="L111" s="11">
        <v>15</v>
      </c>
      <c r="M111" s="11">
        <v>50</v>
      </c>
      <c r="N111" s="71">
        <f>DATE(YEAR(Tabela1[[#This Row],[Start Date]]),MONTH(Tabela1[[#This Row],[Start Date]]),1)</f>
        <v>45444</v>
      </c>
      <c r="O111" s="72">
        <f>YEAR(Tabela1[[#This Row],[Start Date]])</f>
        <v>2024</v>
      </c>
    </row>
    <row r="112" spans="1:15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79">
        <v>10</v>
      </c>
      <c r="G112" s="8" t="s">
        <v>20</v>
      </c>
      <c r="H112" s="8" t="s">
        <v>23</v>
      </c>
      <c r="I112" s="79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71">
        <f>DATE(YEAR(Tabela1[[#This Row],[Start Date]]),MONTH(Tabela1[[#This Row],[Start Date]]),1)</f>
        <v>45444</v>
      </c>
      <c r="O112" s="72">
        <f>YEAR(Tabela1[[#This Row],[Start Date]])</f>
        <v>2024</v>
      </c>
    </row>
    <row r="113" spans="1:15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79">
        <v>5</v>
      </c>
      <c r="G113" s="8" t="s">
        <v>24</v>
      </c>
      <c r="H113" s="8" t="s">
        <v>23</v>
      </c>
      <c r="I113" s="79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71">
        <f>DATE(YEAR(Tabela1[[#This Row],[Start Date]]),MONTH(Tabela1[[#This Row],[Start Date]]),1)</f>
        <v>45444</v>
      </c>
      <c r="O113" s="72">
        <f>YEAR(Tabela1[[#This Row],[Start Date]])</f>
        <v>2024</v>
      </c>
    </row>
    <row r="114" spans="1:15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79">
        <v>15</v>
      </c>
      <c r="G114" s="8" t="s">
        <v>27</v>
      </c>
      <c r="H114" s="8" t="s">
        <v>19</v>
      </c>
      <c r="I114" s="79">
        <v>30</v>
      </c>
      <c r="J114" s="8" t="s">
        <v>19</v>
      </c>
      <c r="K114" s="11">
        <v>20</v>
      </c>
      <c r="L114" s="11">
        <v>20</v>
      </c>
      <c r="M114" s="11">
        <v>45</v>
      </c>
      <c r="N114" s="71">
        <f>DATE(YEAR(Tabela1[[#This Row],[Start Date]]),MONTH(Tabela1[[#This Row],[Start Date]]),1)</f>
        <v>45444</v>
      </c>
      <c r="O114" s="72">
        <f>YEAR(Tabela1[[#This Row],[Start Date]])</f>
        <v>2024</v>
      </c>
    </row>
    <row r="115" spans="1:15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79">
        <v>10</v>
      </c>
      <c r="G115" s="8" t="s">
        <v>27</v>
      </c>
      <c r="H115" s="8" t="s">
        <v>23</v>
      </c>
      <c r="I115" s="79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71">
        <f>DATE(YEAR(Tabela1[[#This Row],[Start Date]]),MONTH(Tabela1[[#This Row],[Start Date]]),1)</f>
        <v>45444</v>
      </c>
      <c r="O115" s="72">
        <f>YEAR(Tabela1[[#This Row],[Start Date]])</f>
        <v>2024</v>
      </c>
    </row>
    <row r="116" spans="1:15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79">
        <v>5</v>
      </c>
      <c r="G116" s="8" t="s">
        <v>20</v>
      </c>
      <c r="H116" s="8" t="s">
        <v>23</v>
      </c>
      <c r="I116" s="79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71">
        <f>DATE(YEAR(Tabela1[[#This Row],[Start Date]]),MONTH(Tabela1[[#This Row],[Start Date]]),1)</f>
        <v>45444</v>
      </c>
      <c r="O116" s="72">
        <f>YEAR(Tabela1[[#This Row],[Start Date]])</f>
        <v>2024</v>
      </c>
    </row>
    <row r="117" spans="1:15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79">
        <v>15</v>
      </c>
      <c r="G117" s="8" t="s">
        <v>24</v>
      </c>
      <c r="H117" s="8" t="s">
        <v>19</v>
      </c>
      <c r="I117" s="79">
        <v>30</v>
      </c>
      <c r="J117" s="8" t="s">
        <v>19</v>
      </c>
      <c r="K117" s="11">
        <v>20</v>
      </c>
      <c r="L117" s="11">
        <v>5</v>
      </c>
      <c r="M117" s="11">
        <v>60</v>
      </c>
      <c r="N117" s="71">
        <f>DATE(YEAR(Tabela1[[#This Row],[Start Date]]),MONTH(Tabela1[[#This Row],[Start Date]]),1)</f>
        <v>45444</v>
      </c>
      <c r="O117" s="72">
        <f>YEAR(Tabela1[[#This Row],[Start Date]])</f>
        <v>2024</v>
      </c>
    </row>
    <row r="118" spans="1:15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79">
        <v>10</v>
      </c>
      <c r="G118" s="8" t="s">
        <v>20</v>
      </c>
      <c r="H118" s="8" t="s">
        <v>23</v>
      </c>
      <c r="I118" s="79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71">
        <f>DATE(YEAR(Tabela1[[#This Row],[Start Date]]),MONTH(Tabela1[[#This Row],[Start Date]]),1)</f>
        <v>45444</v>
      </c>
      <c r="O118" s="72">
        <f>YEAR(Tabela1[[#This Row],[Start Date]])</f>
        <v>2024</v>
      </c>
    </row>
    <row r="119" spans="1:15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79">
        <v>5</v>
      </c>
      <c r="G119" s="8" t="s">
        <v>27</v>
      </c>
      <c r="H119" s="8" t="s">
        <v>23</v>
      </c>
      <c r="I119" s="79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71">
        <f>DATE(YEAR(Tabela1[[#This Row],[Start Date]]),MONTH(Tabela1[[#This Row],[Start Date]]),1)</f>
        <v>45444</v>
      </c>
      <c r="O119" s="72">
        <f>YEAR(Tabela1[[#This Row],[Start Date]])</f>
        <v>2024</v>
      </c>
    </row>
    <row r="120" spans="1:15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79">
        <v>15</v>
      </c>
      <c r="G120" s="8" t="s">
        <v>20</v>
      </c>
      <c r="H120" s="8" t="s">
        <v>19</v>
      </c>
      <c r="I120" s="79">
        <v>30</v>
      </c>
      <c r="J120" s="8" t="s">
        <v>19</v>
      </c>
      <c r="K120" s="11">
        <v>20</v>
      </c>
      <c r="L120" s="11">
        <v>3</v>
      </c>
      <c r="M120" s="11">
        <v>62</v>
      </c>
      <c r="N120" s="71">
        <f>DATE(YEAR(Tabela1[[#This Row],[Start Date]]),MONTH(Tabela1[[#This Row],[Start Date]]),1)</f>
        <v>45444</v>
      </c>
      <c r="O120" s="72">
        <f>YEAR(Tabela1[[#This Row],[Start Date]])</f>
        <v>2024</v>
      </c>
    </row>
    <row r="121" spans="1:15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79">
        <v>10</v>
      </c>
      <c r="G121" s="8" t="s">
        <v>24</v>
      </c>
      <c r="H121" s="8" t="s">
        <v>23</v>
      </c>
      <c r="I121" s="79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71">
        <f>DATE(YEAR(Tabela1[[#This Row],[Start Date]]),MONTH(Tabela1[[#This Row],[Start Date]]),1)</f>
        <v>45444</v>
      </c>
      <c r="O121" s="72">
        <f>YEAR(Tabela1[[#This Row],[Start Date]])</f>
        <v>2024</v>
      </c>
    </row>
    <row r="122" spans="1:15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79">
        <v>5</v>
      </c>
      <c r="G122" s="8" t="s">
        <v>20</v>
      </c>
      <c r="H122" s="8" t="s">
        <v>23</v>
      </c>
      <c r="I122" s="79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71">
        <f>DATE(YEAR(Tabela1[[#This Row],[Start Date]]),MONTH(Tabela1[[#This Row],[Start Date]]),1)</f>
        <v>45444</v>
      </c>
      <c r="O122" s="72">
        <f>YEAR(Tabela1[[#This Row],[Start Date]])</f>
        <v>2024</v>
      </c>
    </row>
    <row r="123" spans="1:15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79">
        <v>15</v>
      </c>
      <c r="G123" s="8" t="s">
        <v>27</v>
      </c>
      <c r="H123" s="8" t="s">
        <v>19</v>
      </c>
      <c r="I123" s="79">
        <v>30</v>
      </c>
      <c r="J123" s="8" t="s">
        <v>19</v>
      </c>
      <c r="K123" s="11">
        <v>20</v>
      </c>
      <c r="L123" s="11">
        <v>7</v>
      </c>
      <c r="M123" s="11">
        <v>58</v>
      </c>
      <c r="N123" s="71">
        <f>DATE(YEAR(Tabela1[[#This Row],[Start Date]]),MONTH(Tabela1[[#This Row],[Start Date]]),1)</f>
        <v>45444</v>
      </c>
      <c r="O123" s="72">
        <f>YEAR(Tabela1[[#This Row],[Start Date]])</f>
        <v>2024</v>
      </c>
    </row>
    <row r="124" spans="1:15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79">
        <v>10</v>
      </c>
      <c r="G124" s="8" t="s">
        <v>20</v>
      </c>
      <c r="H124" s="8" t="s">
        <v>23</v>
      </c>
      <c r="I124" s="79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71">
        <f>DATE(YEAR(Tabela1[[#This Row],[Start Date]]),MONTH(Tabela1[[#This Row],[Start Date]]),1)</f>
        <v>45444</v>
      </c>
      <c r="O124" s="72">
        <f>YEAR(Tabela1[[#This Row],[Start Date]])</f>
        <v>2024</v>
      </c>
    </row>
    <row r="125" spans="1:15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79">
        <v>5</v>
      </c>
      <c r="G125" s="8" t="s">
        <v>24</v>
      </c>
      <c r="H125" s="8" t="s">
        <v>23</v>
      </c>
      <c r="I125" s="79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71">
        <f>DATE(YEAR(Tabela1[[#This Row],[Start Date]]),MONTH(Tabela1[[#This Row],[Start Date]]),1)</f>
        <v>45444</v>
      </c>
      <c r="O125" s="72">
        <f>YEAR(Tabela1[[#This Row],[Start Date]])</f>
        <v>2024</v>
      </c>
    </row>
    <row r="126" spans="1:15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79">
        <v>15</v>
      </c>
      <c r="G126" s="8" t="s">
        <v>20</v>
      </c>
      <c r="H126" s="8" t="s">
        <v>19</v>
      </c>
      <c r="I126" s="79">
        <v>30</v>
      </c>
      <c r="J126" s="8" t="s">
        <v>19</v>
      </c>
      <c r="K126" s="11">
        <v>20</v>
      </c>
      <c r="L126" s="11">
        <v>20</v>
      </c>
      <c r="M126" s="11">
        <v>45</v>
      </c>
      <c r="N126" s="71">
        <f>DATE(YEAR(Tabela1[[#This Row],[Start Date]]),MONTH(Tabela1[[#This Row],[Start Date]]),1)</f>
        <v>45444</v>
      </c>
      <c r="O126" s="72">
        <f>YEAR(Tabela1[[#This Row],[Start Date]])</f>
        <v>2024</v>
      </c>
    </row>
    <row r="127" spans="1:15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79">
        <v>10</v>
      </c>
      <c r="G127" s="8" t="s">
        <v>27</v>
      </c>
      <c r="H127" s="8" t="s">
        <v>23</v>
      </c>
      <c r="I127" s="79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71">
        <f>DATE(YEAR(Tabela1[[#This Row],[Start Date]]),MONTH(Tabela1[[#This Row],[Start Date]]),1)</f>
        <v>45444</v>
      </c>
      <c r="O127" s="72">
        <f>YEAR(Tabela1[[#This Row],[Start Date]])</f>
        <v>2024</v>
      </c>
    </row>
    <row r="128" spans="1:15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79">
        <v>5</v>
      </c>
      <c r="G128" s="8" t="s">
        <v>20</v>
      </c>
      <c r="H128" s="8" t="s">
        <v>23</v>
      </c>
      <c r="I128" s="79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71">
        <f>DATE(YEAR(Tabela1[[#This Row],[Start Date]]),MONTH(Tabela1[[#This Row],[Start Date]]),1)</f>
        <v>45474</v>
      </c>
      <c r="O128" s="72">
        <f>YEAR(Tabela1[[#This Row],[Start Date]])</f>
        <v>2024</v>
      </c>
    </row>
    <row r="129" spans="1:15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79">
        <v>15</v>
      </c>
      <c r="G129" s="8" t="s">
        <v>24</v>
      </c>
      <c r="H129" s="8" t="s">
        <v>19</v>
      </c>
      <c r="I129" s="79">
        <v>30</v>
      </c>
      <c r="J129" s="8" t="s">
        <v>19</v>
      </c>
      <c r="K129" s="11">
        <v>20</v>
      </c>
      <c r="L129" s="11">
        <v>3</v>
      </c>
      <c r="M129" s="11">
        <v>62</v>
      </c>
      <c r="N129" s="71">
        <f>DATE(YEAR(Tabela1[[#This Row],[Start Date]]),MONTH(Tabela1[[#This Row],[Start Date]]),1)</f>
        <v>45474</v>
      </c>
      <c r="O129" s="72">
        <f>YEAR(Tabela1[[#This Row],[Start Date]])</f>
        <v>2024</v>
      </c>
    </row>
    <row r="130" spans="1:15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79">
        <v>10</v>
      </c>
      <c r="G130" s="8" t="s">
        <v>20</v>
      </c>
      <c r="H130" s="8" t="s">
        <v>23</v>
      </c>
      <c r="I130" s="79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71">
        <f>DATE(YEAR(Tabela1[[#This Row],[Start Date]]),MONTH(Tabela1[[#This Row],[Start Date]]),1)</f>
        <v>45474</v>
      </c>
      <c r="O130" s="72">
        <f>YEAR(Tabela1[[#This Row],[Start Date]])</f>
        <v>2024</v>
      </c>
    </row>
    <row r="131" spans="1:15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79">
        <v>5</v>
      </c>
      <c r="G131" s="8" t="s">
        <v>27</v>
      </c>
      <c r="H131" s="8" t="s">
        <v>23</v>
      </c>
      <c r="I131" s="79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71">
        <f>DATE(YEAR(Tabela1[[#This Row],[Start Date]]),MONTH(Tabela1[[#This Row],[Start Date]]),1)</f>
        <v>45474</v>
      </c>
      <c r="O131" s="72">
        <f>YEAR(Tabela1[[#This Row],[Start Date]])</f>
        <v>2024</v>
      </c>
    </row>
    <row r="132" spans="1:15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79">
        <v>15</v>
      </c>
      <c r="G132" s="8" t="s">
        <v>20</v>
      </c>
      <c r="H132" s="8" t="s">
        <v>19</v>
      </c>
      <c r="I132" s="79">
        <v>30</v>
      </c>
      <c r="J132" s="8" t="s">
        <v>19</v>
      </c>
      <c r="K132" s="11">
        <v>20</v>
      </c>
      <c r="L132" s="11">
        <v>15</v>
      </c>
      <c r="M132" s="11">
        <v>50</v>
      </c>
      <c r="N132" s="71">
        <f>DATE(YEAR(Tabela1[[#This Row],[Start Date]]),MONTH(Tabela1[[#This Row],[Start Date]]),1)</f>
        <v>45474</v>
      </c>
      <c r="O132" s="72">
        <f>YEAR(Tabela1[[#This Row],[Start Date]])</f>
        <v>2024</v>
      </c>
    </row>
    <row r="133" spans="1:15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79">
        <v>10</v>
      </c>
      <c r="G133" s="8" t="s">
        <v>24</v>
      </c>
      <c r="H133" s="8" t="s">
        <v>23</v>
      </c>
      <c r="I133" s="79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71">
        <f>DATE(YEAR(Tabela1[[#This Row],[Start Date]]),MONTH(Tabela1[[#This Row],[Start Date]]),1)</f>
        <v>45474</v>
      </c>
      <c r="O133" s="72">
        <f>YEAR(Tabela1[[#This Row],[Start Date]])</f>
        <v>2024</v>
      </c>
    </row>
    <row r="134" spans="1:15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79">
        <v>5</v>
      </c>
      <c r="G134" s="8" t="s">
        <v>20</v>
      </c>
      <c r="H134" s="8" t="s">
        <v>23</v>
      </c>
      <c r="I134" s="79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71">
        <f>DATE(YEAR(Tabela1[[#This Row],[Start Date]]),MONTH(Tabela1[[#This Row],[Start Date]]),1)</f>
        <v>45474</v>
      </c>
      <c r="O134" s="72">
        <f>YEAR(Tabela1[[#This Row],[Start Date]])</f>
        <v>2024</v>
      </c>
    </row>
    <row r="135" spans="1:15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79">
        <v>15</v>
      </c>
      <c r="G135" s="8" t="s">
        <v>27</v>
      </c>
      <c r="H135" s="8" t="s">
        <v>19</v>
      </c>
      <c r="I135" s="79">
        <v>30</v>
      </c>
      <c r="J135" s="8" t="s">
        <v>19</v>
      </c>
      <c r="K135" s="11">
        <v>20</v>
      </c>
      <c r="L135" s="11">
        <v>7</v>
      </c>
      <c r="M135" s="11">
        <v>58</v>
      </c>
      <c r="N135" s="71">
        <f>DATE(YEAR(Tabela1[[#This Row],[Start Date]]),MONTH(Tabela1[[#This Row],[Start Date]]),1)</f>
        <v>45474</v>
      </c>
      <c r="O135" s="72">
        <f>YEAR(Tabela1[[#This Row],[Start Date]])</f>
        <v>2024</v>
      </c>
    </row>
    <row r="136" spans="1:15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79">
        <v>10</v>
      </c>
      <c r="G136" s="8" t="s">
        <v>20</v>
      </c>
      <c r="H136" s="8" t="s">
        <v>23</v>
      </c>
      <c r="I136" s="79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71">
        <f>DATE(YEAR(Tabela1[[#This Row],[Start Date]]),MONTH(Tabela1[[#This Row],[Start Date]]),1)</f>
        <v>45474</v>
      </c>
      <c r="O136" s="72">
        <f>YEAR(Tabela1[[#This Row],[Start Date]])</f>
        <v>2024</v>
      </c>
    </row>
    <row r="137" spans="1:15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79">
        <v>5</v>
      </c>
      <c r="G137" s="8" t="s">
        <v>20</v>
      </c>
      <c r="H137" s="8" t="s">
        <v>23</v>
      </c>
      <c r="I137" s="79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71">
        <f>DATE(YEAR(Tabela1[[#This Row],[Start Date]]),MONTH(Tabela1[[#This Row],[Start Date]]),1)</f>
        <v>45474</v>
      </c>
      <c r="O137" s="72">
        <f>YEAR(Tabela1[[#This Row],[Start Date]])</f>
        <v>2024</v>
      </c>
    </row>
    <row r="138" spans="1:15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79">
        <v>15</v>
      </c>
      <c r="G138" s="8" t="s">
        <v>27</v>
      </c>
      <c r="H138" s="8" t="s">
        <v>19</v>
      </c>
      <c r="I138" s="79">
        <v>30</v>
      </c>
      <c r="J138" s="8" t="s">
        <v>19</v>
      </c>
      <c r="K138" s="11">
        <v>20</v>
      </c>
      <c r="L138" s="11">
        <v>7</v>
      </c>
      <c r="M138" s="11">
        <v>58</v>
      </c>
      <c r="N138" s="71">
        <f>DATE(YEAR(Tabela1[[#This Row],[Start Date]]),MONTH(Tabela1[[#This Row],[Start Date]]),1)</f>
        <v>45474</v>
      </c>
      <c r="O138" s="72">
        <f>YEAR(Tabela1[[#This Row],[Start Date]])</f>
        <v>2024</v>
      </c>
    </row>
    <row r="139" spans="1:15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79">
        <v>10</v>
      </c>
      <c r="G139" s="8" t="s">
        <v>24</v>
      </c>
      <c r="H139" s="8" t="s">
        <v>23</v>
      </c>
      <c r="I139" s="79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71">
        <f>DATE(YEAR(Tabela1[[#This Row],[Start Date]]),MONTH(Tabela1[[#This Row],[Start Date]]),1)</f>
        <v>45474</v>
      </c>
      <c r="O139" s="72">
        <f>YEAR(Tabela1[[#This Row],[Start Date]])</f>
        <v>2024</v>
      </c>
    </row>
    <row r="140" spans="1:15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79">
        <v>5</v>
      </c>
      <c r="G140" s="8" t="s">
        <v>27</v>
      </c>
      <c r="H140" s="8" t="s">
        <v>23</v>
      </c>
      <c r="I140" s="79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71">
        <f>DATE(YEAR(Tabela1[[#This Row],[Start Date]]),MONTH(Tabela1[[#This Row],[Start Date]]),1)</f>
        <v>45474</v>
      </c>
      <c r="O140" s="72">
        <f>YEAR(Tabela1[[#This Row],[Start Date]])</f>
        <v>2024</v>
      </c>
    </row>
    <row r="141" spans="1:15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79">
        <v>15</v>
      </c>
      <c r="G141" s="8" t="s">
        <v>20</v>
      </c>
      <c r="H141" s="8" t="s">
        <v>19</v>
      </c>
      <c r="I141" s="79">
        <v>30</v>
      </c>
      <c r="J141" s="8" t="s">
        <v>19</v>
      </c>
      <c r="K141" s="11">
        <v>20</v>
      </c>
      <c r="L141" s="11">
        <v>15</v>
      </c>
      <c r="M141" s="11">
        <v>50</v>
      </c>
      <c r="N141" s="71">
        <f>DATE(YEAR(Tabela1[[#This Row],[Start Date]]),MONTH(Tabela1[[#This Row],[Start Date]]),1)</f>
        <v>45474</v>
      </c>
      <c r="O141" s="72">
        <f>YEAR(Tabela1[[#This Row],[Start Date]])</f>
        <v>2024</v>
      </c>
    </row>
    <row r="142" spans="1:15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79">
        <v>10</v>
      </c>
      <c r="G142" s="8" t="s">
        <v>20</v>
      </c>
      <c r="H142" s="8" t="s">
        <v>23</v>
      </c>
      <c r="I142" s="79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71">
        <f>DATE(YEAR(Tabela1[[#This Row],[Start Date]]),MONTH(Tabela1[[#This Row],[Start Date]]),1)</f>
        <v>45474</v>
      </c>
      <c r="O142" s="72">
        <f>YEAR(Tabela1[[#This Row],[Start Date]])</f>
        <v>2024</v>
      </c>
    </row>
    <row r="143" spans="1:15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79">
        <v>5</v>
      </c>
      <c r="G143" s="8" t="s">
        <v>24</v>
      </c>
      <c r="H143" s="8" t="s">
        <v>23</v>
      </c>
      <c r="I143" s="79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71">
        <f>DATE(YEAR(Tabela1[[#This Row],[Start Date]]),MONTH(Tabela1[[#This Row],[Start Date]]),1)</f>
        <v>45474</v>
      </c>
      <c r="O143" s="72">
        <f>YEAR(Tabela1[[#This Row],[Start Date]])</f>
        <v>2024</v>
      </c>
    </row>
    <row r="144" spans="1:15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79">
        <v>15</v>
      </c>
      <c r="G144" s="8" t="s">
        <v>27</v>
      </c>
      <c r="H144" s="8" t="s">
        <v>19</v>
      </c>
      <c r="I144" s="79">
        <v>30</v>
      </c>
      <c r="J144" s="8" t="s">
        <v>19</v>
      </c>
      <c r="K144" s="11">
        <v>20</v>
      </c>
      <c r="L144" s="11">
        <v>20</v>
      </c>
      <c r="M144" s="11">
        <v>45</v>
      </c>
      <c r="N144" s="71">
        <f>DATE(YEAR(Tabela1[[#This Row],[Start Date]]),MONTH(Tabela1[[#This Row],[Start Date]]),1)</f>
        <v>45474</v>
      </c>
      <c r="O144" s="72">
        <f>YEAR(Tabela1[[#This Row],[Start Date]])</f>
        <v>2024</v>
      </c>
    </row>
    <row r="145" spans="1:15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79">
        <v>10</v>
      </c>
      <c r="G145" s="8" t="s">
        <v>27</v>
      </c>
      <c r="H145" s="8" t="s">
        <v>23</v>
      </c>
      <c r="I145" s="79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71">
        <f>DATE(YEAR(Tabela1[[#This Row],[Start Date]]),MONTH(Tabela1[[#This Row],[Start Date]]),1)</f>
        <v>45474</v>
      </c>
      <c r="O145" s="72">
        <f>YEAR(Tabela1[[#This Row],[Start Date]])</f>
        <v>2024</v>
      </c>
    </row>
    <row r="146" spans="1:15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79">
        <v>5</v>
      </c>
      <c r="G146" s="8" t="s">
        <v>20</v>
      </c>
      <c r="H146" s="8" t="s">
        <v>23</v>
      </c>
      <c r="I146" s="79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71">
        <f>DATE(YEAR(Tabela1[[#This Row],[Start Date]]),MONTH(Tabela1[[#This Row],[Start Date]]),1)</f>
        <v>45474</v>
      </c>
      <c r="O146" s="72">
        <f>YEAR(Tabela1[[#This Row],[Start Date]])</f>
        <v>2024</v>
      </c>
    </row>
    <row r="147" spans="1:15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79">
        <v>15</v>
      </c>
      <c r="G147" s="8" t="s">
        <v>24</v>
      </c>
      <c r="H147" s="8" t="s">
        <v>19</v>
      </c>
      <c r="I147" s="79">
        <v>30</v>
      </c>
      <c r="J147" s="8" t="s">
        <v>19</v>
      </c>
      <c r="K147" s="11">
        <v>20</v>
      </c>
      <c r="L147" s="11">
        <v>5</v>
      </c>
      <c r="M147" s="11">
        <v>60</v>
      </c>
      <c r="N147" s="71">
        <f>DATE(YEAR(Tabela1[[#This Row],[Start Date]]),MONTH(Tabela1[[#This Row],[Start Date]]),1)</f>
        <v>45474</v>
      </c>
      <c r="O147" s="72">
        <f>YEAR(Tabela1[[#This Row],[Start Date]])</f>
        <v>2024</v>
      </c>
    </row>
    <row r="148" spans="1:15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79">
        <v>10</v>
      </c>
      <c r="G148" s="8" t="s">
        <v>20</v>
      </c>
      <c r="H148" s="8" t="s">
        <v>23</v>
      </c>
      <c r="I148" s="79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71">
        <f>DATE(YEAR(Tabela1[[#This Row],[Start Date]]),MONTH(Tabela1[[#This Row],[Start Date]]),1)</f>
        <v>45474</v>
      </c>
      <c r="O148" s="72">
        <f>YEAR(Tabela1[[#This Row],[Start Date]])</f>
        <v>2024</v>
      </c>
    </row>
    <row r="149" spans="1:15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79">
        <v>5</v>
      </c>
      <c r="G149" s="8" t="s">
        <v>27</v>
      </c>
      <c r="H149" s="8" t="s">
        <v>23</v>
      </c>
      <c r="I149" s="79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71">
        <f>DATE(YEAR(Tabela1[[#This Row],[Start Date]]),MONTH(Tabela1[[#This Row],[Start Date]]),1)</f>
        <v>45474</v>
      </c>
      <c r="O149" s="72">
        <f>YEAR(Tabela1[[#This Row],[Start Date]])</f>
        <v>2024</v>
      </c>
    </row>
    <row r="150" spans="1:15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79">
        <v>15</v>
      </c>
      <c r="G150" s="8" t="s">
        <v>20</v>
      </c>
      <c r="H150" s="8" t="s">
        <v>19</v>
      </c>
      <c r="I150" s="79">
        <v>30</v>
      </c>
      <c r="J150" s="8" t="s">
        <v>19</v>
      </c>
      <c r="K150" s="11">
        <v>20</v>
      </c>
      <c r="L150" s="11">
        <v>3</v>
      </c>
      <c r="M150" s="11">
        <v>62</v>
      </c>
      <c r="N150" s="71">
        <f>DATE(YEAR(Tabela1[[#This Row],[Start Date]]),MONTH(Tabela1[[#This Row],[Start Date]]),1)</f>
        <v>45474</v>
      </c>
      <c r="O150" s="72">
        <f>YEAR(Tabela1[[#This Row],[Start Date]])</f>
        <v>2024</v>
      </c>
    </row>
    <row r="151" spans="1:15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79">
        <v>10</v>
      </c>
      <c r="G151" s="8" t="s">
        <v>24</v>
      </c>
      <c r="H151" s="8" t="s">
        <v>23</v>
      </c>
      <c r="I151" s="79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71">
        <f>DATE(YEAR(Tabela1[[#This Row],[Start Date]]),MONTH(Tabela1[[#This Row],[Start Date]]),1)</f>
        <v>45474</v>
      </c>
      <c r="O151" s="72">
        <f>YEAR(Tabela1[[#This Row],[Start Date]])</f>
        <v>2024</v>
      </c>
    </row>
    <row r="152" spans="1:15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79">
        <v>5</v>
      </c>
      <c r="G152" s="8" t="s">
        <v>20</v>
      </c>
      <c r="H152" s="8" t="s">
        <v>23</v>
      </c>
      <c r="I152" s="79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71">
        <f>DATE(YEAR(Tabela1[[#This Row],[Start Date]]),MONTH(Tabela1[[#This Row],[Start Date]]),1)</f>
        <v>45474</v>
      </c>
      <c r="O152" s="72">
        <f>YEAR(Tabela1[[#This Row],[Start Date]])</f>
        <v>2024</v>
      </c>
    </row>
    <row r="153" spans="1:15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79">
        <v>15</v>
      </c>
      <c r="G153" s="8" t="s">
        <v>27</v>
      </c>
      <c r="H153" s="8" t="s">
        <v>19</v>
      </c>
      <c r="I153" s="79">
        <v>30</v>
      </c>
      <c r="J153" s="8" t="s">
        <v>19</v>
      </c>
      <c r="K153" s="11">
        <v>20</v>
      </c>
      <c r="L153" s="11">
        <v>7</v>
      </c>
      <c r="M153" s="11">
        <v>58</v>
      </c>
      <c r="N153" s="71">
        <f>DATE(YEAR(Tabela1[[#This Row],[Start Date]]),MONTH(Tabela1[[#This Row],[Start Date]]),1)</f>
        <v>45474</v>
      </c>
      <c r="O153" s="72">
        <f>YEAR(Tabela1[[#This Row],[Start Date]])</f>
        <v>2024</v>
      </c>
    </row>
    <row r="154" spans="1:15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79">
        <v>10</v>
      </c>
      <c r="G154" s="8" t="s">
        <v>20</v>
      </c>
      <c r="H154" s="8" t="s">
        <v>23</v>
      </c>
      <c r="I154" s="79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71">
        <f>DATE(YEAR(Tabela1[[#This Row],[Start Date]]),MONTH(Tabela1[[#This Row],[Start Date]]),1)</f>
        <v>45474</v>
      </c>
      <c r="O154" s="72">
        <f>YEAR(Tabela1[[#This Row],[Start Date]])</f>
        <v>2024</v>
      </c>
    </row>
    <row r="155" spans="1:15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79">
        <v>5</v>
      </c>
      <c r="G155" s="8" t="s">
        <v>24</v>
      </c>
      <c r="H155" s="8" t="s">
        <v>23</v>
      </c>
      <c r="I155" s="79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71">
        <f>DATE(YEAR(Tabela1[[#This Row],[Start Date]]),MONTH(Tabela1[[#This Row],[Start Date]]),1)</f>
        <v>45474</v>
      </c>
      <c r="O155" s="72">
        <f>YEAR(Tabela1[[#This Row],[Start Date]])</f>
        <v>2024</v>
      </c>
    </row>
    <row r="156" spans="1:15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79">
        <v>15</v>
      </c>
      <c r="G156" s="8" t="s">
        <v>20</v>
      </c>
      <c r="H156" s="8" t="s">
        <v>19</v>
      </c>
      <c r="I156" s="79">
        <v>30</v>
      </c>
      <c r="J156" s="8" t="s">
        <v>19</v>
      </c>
      <c r="K156" s="11">
        <v>20</v>
      </c>
      <c r="L156" s="11">
        <v>20</v>
      </c>
      <c r="M156" s="11">
        <v>45</v>
      </c>
      <c r="N156" s="71">
        <f>DATE(YEAR(Tabela1[[#This Row],[Start Date]]),MONTH(Tabela1[[#This Row],[Start Date]]),1)</f>
        <v>45474</v>
      </c>
      <c r="O156" s="72">
        <f>YEAR(Tabela1[[#This Row],[Start Date]])</f>
        <v>2024</v>
      </c>
    </row>
    <row r="157" spans="1:15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79">
        <v>10</v>
      </c>
      <c r="G157" s="8" t="s">
        <v>27</v>
      </c>
      <c r="H157" s="8" t="s">
        <v>23</v>
      </c>
      <c r="I157" s="79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71">
        <f>DATE(YEAR(Tabela1[[#This Row],[Start Date]]),MONTH(Tabela1[[#This Row],[Start Date]]),1)</f>
        <v>45474</v>
      </c>
      <c r="O157" s="72">
        <f>YEAR(Tabela1[[#This Row],[Start Date]])</f>
        <v>2024</v>
      </c>
    </row>
    <row r="158" spans="1:15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79">
        <v>5</v>
      </c>
      <c r="G158" s="8" t="s">
        <v>20</v>
      </c>
      <c r="H158" s="8" t="s">
        <v>23</v>
      </c>
      <c r="I158" s="79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71">
        <f>DATE(YEAR(Tabela1[[#This Row],[Start Date]]),MONTH(Tabela1[[#This Row],[Start Date]]),1)</f>
        <v>45474</v>
      </c>
      <c r="O158" s="72">
        <f>YEAR(Tabela1[[#This Row],[Start Date]])</f>
        <v>2024</v>
      </c>
    </row>
    <row r="159" spans="1:15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79">
        <v>15</v>
      </c>
      <c r="G159" s="8" t="s">
        <v>24</v>
      </c>
      <c r="H159" s="8" t="s">
        <v>19</v>
      </c>
      <c r="I159" s="79">
        <v>30</v>
      </c>
      <c r="J159" s="8" t="s">
        <v>19</v>
      </c>
      <c r="K159" s="11">
        <v>20</v>
      </c>
      <c r="L159" s="11">
        <v>3</v>
      </c>
      <c r="M159" s="11">
        <v>62</v>
      </c>
      <c r="N159" s="71">
        <f>DATE(YEAR(Tabela1[[#This Row],[Start Date]]),MONTH(Tabela1[[#This Row],[Start Date]]),1)</f>
        <v>45505</v>
      </c>
      <c r="O159" s="72">
        <f>YEAR(Tabela1[[#This Row],[Start Date]])</f>
        <v>2024</v>
      </c>
    </row>
    <row r="160" spans="1:15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79">
        <v>10</v>
      </c>
      <c r="G160" s="8" t="s">
        <v>20</v>
      </c>
      <c r="H160" s="8" t="s">
        <v>23</v>
      </c>
      <c r="I160" s="79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71">
        <f>DATE(YEAR(Tabela1[[#This Row],[Start Date]]),MONTH(Tabela1[[#This Row],[Start Date]]),1)</f>
        <v>45505</v>
      </c>
      <c r="O160" s="72">
        <f>YEAR(Tabela1[[#This Row],[Start Date]])</f>
        <v>2024</v>
      </c>
    </row>
    <row r="161" spans="1:15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79">
        <v>5</v>
      </c>
      <c r="G161" s="8" t="s">
        <v>27</v>
      </c>
      <c r="H161" s="8" t="s">
        <v>23</v>
      </c>
      <c r="I161" s="79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71">
        <f>DATE(YEAR(Tabela1[[#This Row],[Start Date]]),MONTH(Tabela1[[#This Row],[Start Date]]),1)</f>
        <v>45505</v>
      </c>
      <c r="O161" s="72">
        <f>YEAR(Tabela1[[#This Row],[Start Date]])</f>
        <v>2024</v>
      </c>
    </row>
    <row r="162" spans="1:15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79">
        <v>15</v>
      </c>
      <c r="G162" s="8" t="s">
        <v>20</v>
      </c>
      <c r="H162" s="8" t="s">
        <v>19</v>
      </c>
      <c r="I162" s="79">
        <v>30</v>
      </c>
      <c r="J162" s="8" t="s">
        <v>19</v>
      </c>
      <c r="K162" s="11">
        <v>20</v>
      </c>
      <c r="L162" s="11">
        <v>15</v>
      </c>
      <c r="M162" s="11">
        <v>50</v>
      </c>
      <c r="N162" s="71">
        <f>DATE(YEAR(Tabela1[[#This Row],[Start Date]]),MONTH(Tabela1[[#This Row],[Start Date]]),1)</f>
        <v>45505</v>
      </c>
      <c r="O162" s="72">
        <f>YEAR(Tabela1[[#This Row],[Start Date]])</f>
        <v>2024</v>
      </c>
    </row>
    <row r="163" spans="1:15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79">
        <v>10</v>
      </c>
      <c r="G163" s="8" t="s">
        <v>24</v>
      </c>
      <c r="H163" s="8" t="s">
        <v>23</v>
      </c>
      <c r="I163" s="79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71">
        <f>DATE(YEAR(Tabela1[[#This Row],[Start Date]]),MONTH(Tabela1[[#This Row],[Start Date]]),1)</f>
        <v>45505</v>
      </c>
      <c r="O163" s="72">
        <f>YEAR(Tabela1[[#This Row],[Start Date]])</f>
        <v>2024</v>
      </c>
    </row>
    <row r="164" spans="1:15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79">
        <v>5</v>
      </c>
      <c r="G164" s="8" t="s">
        <v>20</v>
      </c>
      <c r="H164" s="8" t="s">
        <v>23</v>
      </c>
      <c r="I164" s="79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71">
        <f>DATE(YEAR(Tabela1[[#This Row],[Start Date]]),MONTH(Tabela1[[#This Row],[Start Date]]),1)</f>
        <v>45505</v>
      </c>
      <c r="O164" s="72">
        <f>YEAR(Tabela1[[#This Row],[Start Date]])</f>
        <v>2024</v>
      </c>
    </row>
    <row r="165" spans="1:15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79">
        <v>15</v>
      </c>
      <c r="G165" s="8" t="s">
        <v>27</v>
      </c>
      <c r="H165" s="8" t="s">
        <v>19</v>
      </c>
      <c r="I165" s="79">
        <v>30</v>
      </c>
      <c r="J165" s="8" t="s">
        <v>19</v>
      </c>
      <c r="K165" s="11">
        <v>20</v>
      </c>
      <c r="L165" s="11">
        <v>7</v>
      </c>
      <c r="M165" s="11">
        <v>58</v>
      </c>
      <c r="N165" s="71">
        <f>DATE(YEAR(Tabela1[[#This Row],[Start Date]]),MONTH(Tabela1[[#This Row],[Start Date]]),1)</f>
        <v>45505</v>
      </c>
      <c r="O165" s="72">
        <f>YEAR(Tabela1[[#This Row],[Start Date]])</f>
        <v>2024</v>
      </c>
    </row>
    <row r="166" spans="1:15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79">
        <v>10</v>
      </c>
      <c r="G166" s="8" t="s">
        <v>20</v>
      </c>
      <c r="H166" s="8" t="s">
        <v>23</v>
      </c>
      <c r="I166" s="79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71">
        <f>DATE(YEAR(Tabela1[[#This Row],[Start Date]]),MONTH(Tabela1[[#This Row],[Start Date]]),1)</f>
        <v>45505</v>
      </c>
      <c r="O166" s="72">
        <f>YEAR(Tabela1[[#This Row],[Start Date]])</f>
        <v>2024</v>
      </c>
    </row>
    <row r="167" spans="1:15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79">
        <v>5</v>
      </c>
      <c r="G167" s="8" t="s">
        <v>24</v>
      </c>
      <c r="H167" s="8" t="s">
        <v>23</v>
      </c>
      <c r="I167" s="79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71">
        <f>DATE(YEAR(Tabela1[[#This Row],[Start Date]]),MONTH(Tabela1[[#This Row],[Start Date]]),1)</f>
        <v>45505</v>
      </c>
      <c r="O167" s="72">
        <f>YEAR(Tabela1[[#This Row],[Start Date]])</f>
        <v>2024</v>
      </c>
    </row>
    <row r="168" spans="1:15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79">
        <v>15</v>
      </c>
      <c r="G168" s="8" t="s">
        <v>20</v>
      </c>
      <c r="H168" s="8" t="s">
        <v>19</v>
      </c>
      <c r="I168" s="79">
        <v>30</v>
      </c>
      <c r="J168" s="8" t="s">
        <v>19</v>
      </c>
      <c r="K168" s="11">
        <v>20</v>
      </c>
      <c r="L168" s="11">
        <v>20</v>
      </c>
      <c r="M168" s="11">
        <v>45</v>
      </c>
      <c r="N168" s="71">
        <f>DATE(YEAR(Tabela1[[#This Row],[Start Date]]),MONTH(Tabela1[[#This Row],[Start Date]]),1)</f>
        <v>45505</v>
      </c>
      <c r="O168" s="72">
        <f>YEAR(Tabela1[[#This Row],[Start Date]])</f>
        <v>2024</v>
      </c>
    </row>
    <row r="169" spans="1:15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79">
        <v>10</v>
      </c>
      <c r="G169" s="8" t="s">
        <v>27</v>
      </c>
      <c r="H169" s="8" t="s">
        <v>23</v>
      </c>
      <c r="I169" s="79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71">
        <f>DATE(YEAR(Tabela1[[#This Row],[Start Date]]),MONTH(Tabela1[[#This Row],[Start Date]]),1)</f>
        <v>45505</v>
      </c>
      <c r="O169" s="72">
        <f>YEAR(Tabela1[[#This Row],[Start Date]])</f>
        <v>2024</v>
      </c>
    </row>
    <row r="170" spans="1:15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79">
        <v>5</v>
      </c>
      <c r="G170" s="8" t="s">
        <v>20</v>
      </c>
      <c r="H170" s="8" t="s">
        <v>23</v>
      </c>
      <c r="I170" s="79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71">
        <f>DATE(YEAR(Tabela1[[#This Row],[Start Date]]),MONTH(Tabela1[[#This Row],[Start Date]]),1)</f>
        <v>45505</v>
      </c>
      <c r="O170" s="72">
        <f>YEAR(Tabela1[[#This Row],[Start Date]])</f>
        <v>2024</v>
      </c>
    </row>
    <row r="171" spans="1:15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79">
        <v>15</v>
      </c>
      <c r="G171" s="8" t="s">
        <v>24</v>
      </c>
      <c r="H171" s="8" t="s">
        <v>19</v>
      </c>
      <c r="I171" s="79">
        <v>30</v>
      </c>
      <c r="J171" s="8" t="s">
        <v>19</v>
      </c>
      <c r="K171" s="11">
        <v>20</v>
      </c>
      <c r="L171" s="11">
        <v>5</v>
      </c>
      <c r="M171" s="11">
        <v>60</v>
      </c>
      <c r="N171" s="71">
        <f>DATE(YEAR(Tabela1[[#This Row],[Start Date]]),MONTH(Tabela1[[#This Row],[Start Date]]),1)</f>
        <v>45505</v>
      </c>
      <c r="O171" s="72">
        <f>YEAR(Tabela1[[#This Row],[Start Date]])</f>
        <v>2024</v>
      </c>
    </row>
    <row r="172" spans="1:15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79">
        <v>10</v>
      </c>
      <c r="G172" s="8" t="s">
        <v>20</v>
      </c>
      <c r="H172" s="8" t="s">
        <v>23</v>
      </c>
      <c r="I172" s="79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71">
        <f>DATE(YEAR(Tabela1[[#This Row],[Start Date]]),MONTH(Tabela1[[#This Row],[Start Date]]),1)</f>
        <v>45505</v>
      </c>
      <c r="O172" s="72">
        <f>YEAR(Tabela1[[#This Row],[Start Date]])</f>
        <v>2024</v>
      </c>
    </row>
    <row r="173" spans="1:15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79">
        <v>5</v>
      </c>
      <c r="G173" s="8" t="s">
        <v>27</v>
      </c>
      <c r="H173" s="8" t="s">
        <v>23</v>
      </c>
      <c r="I173" s="79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71">
        <f>DATE(YEAR(Tabela1[[#This Row],[Start Date]]),MONTH(Tabela1[[#This Row],[Start Date]]),1)</f>
        <v>45505</v>
      </c>
      <c r="O173" s="72">
        <f>YEAR(Tabela1[[#This Row],[Start Date]])</f>
        <v>2024</v>
      </c>
    </row>
    <row r="174" spans="1:15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79">
        <v>15</v>
      </c>
      <c r="G174" s="8" t="s">
        <v>20</v>
      </c>
      <c r="H174" s="8" t="s">
        <v>19</v>
      </c>
      <c r="I174" s="79">
        <v>30</v>
      </c>
      <c r="J174" s="8" t="s">
        <v>19</v>
      </c>
      <c r="K174" s="11">
        <v>20</v>
      </c>
      <c r="L174" s="11">
        <v>3</v>
      </c>
      <c r="M174" s="11">
        <v>62</v>
      </c>
      <c r="N174" s="71">
        <f>DATE(YEAR(Tabela1[[#This Row],[Start Date]]),MONTH(Tabela1[[#This Row],[Start Date]]),1)</f>
        <v>45505</v>
      </c>
      <c r="O174" s="72">
        <f>YEAR(Tabela1[[#This Row],[Start Date]])</f>
        <v>2024</v>
      </c>
    </row>
    <row r="175" spans="1:15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79">
        <v>10</v>
      </c>
      <c r="G175" s="8" t="s">
        <v>24</v>
      </c>
      <c r="H175" s="8" t="s">
        <v>23</v>
      </c>
      <c r="I175" s="79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71">
        <f>DATE(YEAR(Tabela1[[#This Row],[Start Date]]),MONTH(Tabela1[[#This Row],[Start Date]]),1)</f>
        <v>45505</v>
      </c>
      <c r="O175" s="72">
        <f>YEAR(Tabela1[[#This Row],[Start Date]])</f>
        <v>2024</v>
      </c>
    </row>
    <row r="176" spans="1:15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79">
        <v>5</v>
      </c>
      <c r="G176" s="8" t="s">
        <v>20</v>
      </c>
      <c r="H176" s="8" t="s">
        <v>23</v>
      </c>
      <c r="I176" s="79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71">
        <f>DATE(YEAR(Tabela1[[#This Row],[Start Date]]),MONTH(Tabela1[[#This Row],[Start Date]]),1)</f>
        <v>45505</v>
      </c>
      <c r="O176" s="72">
        <f>YEAR(Tabela1[[#This Row],[Start Date]])</f>
        <v>2024</v>
      </c>
    </row>
    <row r="177" spans="1:15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79">
        <v>5</v>
      </c>
      <c r="G177" s="8" t="s">
        <v>20</v>
      </c>
      <c r="H177" s="8" t="s">
        <v>23</v>
      </c>
      <c r="I177" s="79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71">
        <f>DATE(YEAR(Tabela1[[#This Row],[Start Date]]),MONTH(Tabela1[[#This Row],[Start Date]]),1)</f>
        <v>45505</v>
      </c>
      <c r="O177" s="72">
        <f>YEAR(Tabela1[[#This Row],[Start Date]])</f>
        <v>2024</v>
      </c>
    </row>
    <row r="178" spans="1:15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79">
        <v>15</v>
      </c>
      <c r="G178" s="8" t="s">
        <v>27</v>
      </c>
      <c r="H178" s="8" t="s">
        <v>19</v>
      </c>
      <c r="I178" s="79">
        <v>30</v>
      </c>
      <c r="J178" s="8" t="s">
        <v>19</v>
      </c>
      <c r="K178" s="11">
        <v>20</v>
      </c>
      <c r="L178" s="11">
        <v>7</v>
      </c>
      <c r="M178" s="11">
        <v>58</v>
      </c>
      <c r="N178" s="71">
        <f>DATE(YEAR(Tabela1[[#This Row],[Start Date]]),MONTH(Tabela1[[#This Row],[Start Date]]),1)</f>
        <v>45505</v>
      </c>
      <c r="O178" s="72">
        <f>YEAR(Tabela1[[#This Row],[Start Date]])</f>
        <v>2024</v>
      </c>
    </row>
    <row r="179" spans="1:15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79">
        <v>10</v>
      </c>
      <c r="G179" s="8" t="s">
        <v>24</v>
      </c>
      <c r="H179" s="8" t="s">
        <v>23</v>
      </c>
      <c r="I179" s="79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71">
        <f>DATE(YEAR(Tabela1[[#This Row],[Start Date]]),MONTH(Tabela1[[#This Row],[Start Date]]),1)</f>
        <v>45505</v>
      </c>
      <c r="O179" s="72">
        <f>YEAR(Tabela1[[#This Row],[Start Date]])</f>
        <v>2024</v>
      </c>
    </row>
    <row r="180" spans="1:15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79">
        <v>5</v>
      </c>
      <c r="G180" s="8" t="s">
        <v>27</v>
      </c>
      <c r="H180" s="8" t="s">
        <v>23</v>
      </c>
      <c r="I180" s="79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71">
        <f>DATE(YEAR(Tabela1[[#This Row],[Start Date]]),MONTH(Tabela1[[#This Row],[Start Date]]),1)</f>
        <v>45505</v>
      </c>
      <c r="O180" s="72">
        <f>YEAR(Tabela1[[#This Row],[Start Date]])</f>
        <v>2024</v>
      </c>
    </row>
    <row r="181" spans="1:15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79">
        <v>15</v>
      </c>
      <c r="G181" s="8" t="s">
        <v>20</v>
      </c>
      <c r="H181" s="8" t="s">
        <v>19</v>
      </c>
      <c r="I181" s="79">
        <v>30</v>
      </c>
      <c r="J181" s="8" t="s">
        <v>19</v>
      </c>
      <c r="K181" s="11">
        <v>20</v>
      </c>
      <c r="L181" s="11">
        <v>15</v>
      </c>
      <c r="M181" s="11">
        <v>50</v>
      </c>
      <c r="N181" s="71">
        <f>DATE(YEAR(Tabela1[[#This Row],[Start Date]]),MONTH(Tabela1[[#This Row],[Start Date]]),1)</f>
        <v>45505</v>
      </c>
      <c r="O181" s="72">
        <f>YEAR(Tabela1[[#This Row],[Start Date]])</f>
        <v>2024</v>
      </c>
    </row>
    <row r="182" spans="1:15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79">
        <v>10</v>
      </c>
      <c r="G182" s="8" t="s">
        <v>20</v>
      </c>
      <c r="H182" s="8" t="s">
        <v>23</v>
      </c>
      <c r="I182" s="79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71">
        <f>DATE(YEAR(Tabela1[[#This Row],[Start Date]]),MONTH(Tabela1[[#This Row],[Start Date]]),1)</f>
        <v>45505</v>
      </c>
      <c r="O182" s="72">
        <f>YEAR(Tabela1[[#This Row],[Start Date]])</f>
        <v>2024</v>
      </c>
    </row>
    <row r="183" spans="1:15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79">
        <v>5</v>
      </c>
      <c r="G183" s="8" t="s">
        <v>24</v>
      </c>
      <c r="H183" s="8" t="s">
        <v>23</v>
      </c>
      <c r="I183" s="79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71">
        <f>DATE(YEAR(Tabela1[[#This Row],[Start Date]]),MONTH(Tabela1[[#This Row],[Start Date]]),1)</f>
        <v>45505</v>
      </c>
      <c r="O183" s="72">
        <f>YEAR(Tabela1[[#This Row],[Start Date]])</f>
        <v>2024</v>
      </c>
    </row>
    <row r="184" spans="1:15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79">
        <v>15</v>
      </c>
      <c r="G184" s="8" t="s">
        <v>27</v>
      </c>
      <c r="H184" s="8" t="s">
        <v>19</v>
      </c>
      <c r="I184" s="79">
        <v>30</v>
      </c>
      <c r="J184" s="8" t="s">
        <v>19</v>
      </c>
      <c r="K184" s="11">
        <v>20</v>
      </c>
      <c r="L184" s="11">
        <v>20</v>
      </c>
      <c r="M184" s="11">
        <v>45</v>
      </c>
      <c r="N184" s="71">
        <f>DATE(YEAR(Tabela1[[#This Row],[Start Date]]),MONTH(Tabela1[[#This Row],[Start Date]]),1)</f>
        <v>45505</v>
      </c>
      <c r="O184" s="72">
        <f>YEAR(Tabela1[[#This Row],[Start Date]])</f>
        <v>2024</v>
      </c>
    </row>
    <row r="185" spans="1:15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79">
        <v>10</v>
      </c>
      <c r="G185" s="8" t="s">
        <v>27</v>
      </c>
      <c r="H185" s="8" t="s">
        <v>23</v>
      </c>
      <c r="I185" s="79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71">
        <f>DATE(YEAR(Tabela1[[#This Row],[Start Date]]),MONTH(Tabela1[[#This Row],[Start Date]]),1)</f>
        <v>45505</v>
      </c>
      <c r="O185" s="72">
        <f>YEAR(Tabela1[[#This Row],[Start Date]])</f>
        <v>2024</v>
      </c>
    </row>
    <row r="186" spans="1:15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79">
        <v>5</v>
      </c>
      <c r="G186" s="8" t="s">
        <v>20</v>
      </c>
      <c r="H186" s="8" t="s">
        <v>23</v>
      </c>
      <c r="I186" s="79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71">
        <f>DATE(YEAR(Tabela1[[#This Row],[Start Date]]),MONTH(Tabela1[[#This Row],[Start Date]]),1)</f>
        <v>45505</v>
      </c>
      <c r="O186" s="72">
        <f>YEAR(Tabela1[[#This Row],[Start Date]])</f>
        <v>2024</v>
      </c>
    </row>
    <row r="187" spans="1:15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79">
        <v>15</v>
      </c>
      <c r="G187" s="8" t="s">
        <v>24</v>
      </c>
      <c r="H187" s="8" t="s">
        <v>19</v>
      </c>
      <c r="I187" s="79">
        <v>30</v>
      </c>
      <c r="J187" s="8" t="s">
        <v>19</v>
      </c>
      <c r="K187" s="11">
        <v>20</v>
      </c>
      <c r="L187" s="11">
        <v>5</v>
      </c>
      <c r="M187" s="11">
        <v>60</v>
      </c>
      <c r="N187" s="71">
        <f>DATE(YEAR(Tabela1[[#This Row],[Start Date]]),MONTH(Tabela1[[#This Row],[Start Date]]),1)</f>
        <v>45505</v>
      </c>
      <c r="O187" s="72">
        <f>YEAR(Tabela1[[#This Row],[Start Date]])</f>
        <v>2024</v>
      </c>
    </row>
    <row r="188" spans="1:15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79">
        <v>10</v>
      </c>
      <c r="G188" s="8" t="s">
        <v>20</v>
      </c>
      <c r="H188" s="8" t="s">
        <v>23</v>
      </c>
      <c r="I188" s="79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71">
        <f>DATE(YEAR(Tabela1[[#This Row],[Start Date]]),MONTH(Tabela1[[#This Row],[Start Date]]),1)</f>
        <v>45505</v>
      </c>
      <c r="O188" s="72">
        <f>YEAR(Tabela1[[#This Row],[Start Date]])</f>
        <v>2024</v>
      </c>
    </row>
    <row r="189" spans="1:15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79">
        <v>5</v>
      </c>
      <c r="G189" s="8" t="s">
        <v>27</v>
      </c>
      <c r="H189" s="8" t="s">
        <v>23</v>
      </c>
      <c r="I189" s="79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71">
        <f>DATE(YEAR(Tabela1[[#This Row],[Start Date]]),MONTH(Tabela1[[#This Row],[Start Date]]),1)</f>
        <v>45505</v>
      </c>
      <c r="O189" s="72">
        <f>YEAR(Tabela1[[#This Row],[Start Date]])</f>
        <v>2024</v>
      </c>
    </row>
    <row r="190" spans="1:15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79">
        <v>15</v>
      </c>
      <c r="G190" s="8" t="s">
        <v>20</v>
      </c>
      <c r="H190" s="8" t="s">
        <v>19</v>
      </c>
      <c r="I190" s="79">
        <v>30</v>
      </c>
      <c r="J190" s="8" t="s">
        <v>19</v>
      </c>
      <c r="K190" s="11">
        <v>20</v>
      </c>
      <c r="L190" s="11">
        <v>3</v>
      </c>
      <c r="M190" s="11">
        <v>62</v>
      </c>
      <c r="N190" s="71">
        <f>DATE(YEAR(Tabela1[[#This Row],[Start Date]]),MONTH(Tabela1[[#This Row],[Start Date]]),1)</f>
        <v>45536</v>
      </c>
      <c r="O190" s="72">
        <f>YEAR(Tabela1[[#This Row],[Start Date]])</f>
        <v>2024</v>
      </c>
    </row>
    <row r="191" spans="1:15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79">
        <v>10</v>
      </c>
      <c r="G191" s="8" t="s">
        <v>24</v>
      </c>
      <c r="H191" s="8" t="s">
        <v>23</v>
      </c>
      <c r="I191" s="79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71">
        <f>DATE(YEAR(Tabela1[[#This Row],[Start Date]]),MONTH(Tabela1[[#This Row],[Start Date]]),1)</f>
        <v>45536</v>
      </c>
      <c r="O191" s="72">
        <f>YEAR(Tabela1[[#This Row],[Start Date]])</f>
        <v>2024</v>
      </c>
    </row>
    <row r="192" spans="1:15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79">
        <v>5</v>
      </c>
      <c r="G192" s="8" t="s">
        <v>20</v>
      </c>
      <c r="H192" s="8" t="s">
        <v>23</v>
      </c>
      <c r="I192" s="79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71">
        <f>DATE(YEAR(Tabela1[[#This Row],[Start Date]]),MONTH(Tabela1[[#This Row],[Start Date]]),1)</f>
        <v>45536</v>
      </c>
      <c r="O192" s="72">
        <f>YEAR(Tabela1[[#This Row],[Start Date]])</f>
        <v>2024</v>
      </c>
    </row>
    <row r="193" spans="1:15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79">
        <v>15</v>
      </c>
      <c r="G193" s="8" t="s">
        <v>27</v>
      </c>
      <c r="H193" s="8" t="s">
        <v>19</v>
      </c>
      <c r="I193" s="79">
        <v>30</v>
      </c>
      <c r="J193" s="8" t="s">
        <v>19</v>
      </c>
      <c r="K193" s="11">
        <v>20</v>
      </c>
      <c r="L193" s="11">
        <v>7</v>
      </c>
      <c r="M193" s="11">
        <v>58</v>
      </c>
      <c r="N193" s="71">
        <f>DATE(YEAR(Tabela1[[#This Row],[Start Date]]),MONTH(Tabela1[[#This Row],[Start Date]]),1)</f>
        <v>45536</v>
      </c>
      <c r="O193" s="72">
        <f>YEAR(Tabela1[[#This Row],[Start Date]])</f>
        <v>2024</v>
      </c>
    </row>
    <row r="194" spans="1:15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79">
        <v>10</v>
      </c>
      <c r="G194" s="8" t="s">
        <v>20</v>
      </c>
      <c r="H194" s="8" t="s">
        <v>23</v>
      </c>
      <c r="I194" s="79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71">
        <f>DATE(YEAR(Tabela1[[#This Row],[Start Date]]),MONTH(Tabela1[[#This Row],[Start Date]]),1)</f>
        <v>45536</v>
      </c>
      <c r="O194" s="72">
        <f>YEAR(Tabela1[[#This Row],[Start Date]])</f>
        <v>2024</v>
      </c>
    </row>
    <row r="195" spans="1:15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79">
        <v>5</v>
      </c>
      <c r="G195" s="8" t="s">
        <v>24</v>
      </c>
      <c r="H195" s="8" t="s">
        <v>23</v>
      </c>
      <c r="I195" s="79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71">
        <f>DATE(YEAR(Tabela1[[#This Row],[Start Date]]),MONTH(Tabela1[[#This Row],[Start Date]]),1)</f>
        <v>45536</v>
      </c>
      <c r="O195" s="72">
        <f>YEAR(Tabela1[[#This Row],[Start Date]])</f>
        <v>2024</v>
      </c>
    </row>
    <row r="196" spans="1:15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79">
        <v>15</v>
      </c>
      <c r="G196" s="8" t="s">
        <v>20</v>
      </c>
      <c r="H196" s="8" t="s">
        <v>19</v>
      </c>
      <c r="I196" s="79">
        <v>30</v>
      </c>
      <c r="J196" s="8" t="s">
        <v>19</v>
      </c>
      <c r="K196" s="11">
        <v>20</v>
      </c>
      <c r="L196" s="11">
        <v>20</v>
      </c>
      <c r="M196" s="11">
        <v>45</v>
      </c>
      <c r="N196" s="71">
        <f>DATE(YEAR(Tabela1[[#This Row],[Start Date]]),MONTH(Tabela1[[#This Row],[Start Date]]),1)</f>
        <v>45536</v>
      </c>
      <c r="O196" s="72">
        <f>YEAR(Tabela1[[#This Row],[Start Date]])</f>
        <v>2024</v>
      </c>
    </row>
    <row r="197" spans="1:15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79">
        <v>10</v>
      </c>
      <c r="G197" s="8" t="s">
        <v>27</v>
      </c>
      <c r="H197" s="8" t="s">
        <v>23</v>
      </c>
      <c r="I197" s="79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71">
        <f>DATE(YEAR(Tabela1[[#This Row],[Start Date]]),MONTH(Tabela1[[#This Row],[Start Date]]),1)</f>
        <v>45536</v>
      </c>
      <c r="O197" s="72">
        <f>YEAR(Tabela1[[#This Row],[Start Date]])</f>
        <v>2024</v>
      </c>
    </row>
    <row r="198" spans="1:15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79">
        <v>5</v>
      </c>
      <c r="G198" s="8" t="s">
        <v>20</v>
      </c>
      <c r="H198" s="8" t="s">
        <v>23</v>
      </c>
      <c r="I198" s="79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71">
        <f>DATE(YEAR(Tabela1[[#This Row],[Start Date]]),MONTH(Tabela1[[#This Row],[Start Date]]),1)</f>
        <v>45536</v>
      </c>
      <c r="O198" s="72">
        <f>YEAR(Tabela1[[#This Row],[Start Date]])</f>
        <v>2024</v>
      </c>
    </row>
    <row r="199" spans="1:15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79">
        <v>15</v>
      </c>
      <c r="G199" s="8" t="s">
        <v>24</v>
      </c>
      <c r="H199" s="8" t="s">
        <v>19</v>
      </c>
      <c r="I199" s="79">
        <v>30</v>
      </c>
      <c r="J199" s="8" t="s">
        <v>19</v>
      </c>
      <c r="K199" s="11">
        <v>20</v>
      </c>
      <c r="L199" s="11">
        <v>3</v>
      </c>
      <c r="M199" s="11">
        <v>62</v>
      </c>
      <c r="N199" s="71">
        <f>DATE(YEAR(Tabela1[[#This Row],[Start Date]]),MONTH(Tabela1[[#This Row],[Start Date]]),1)</f>
        <v>45536</v>
      </c>
      <c r="O199" s="72">
        <f>YEAR(Tabela1[[#This Row],[Start Date]])</f>
        <v>2024</v>
      </c>
    </row>
    <row r="200" spans="1:15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79">
        <v>10</v>
      </c>
      <c r="G200" s="8" t="s">
        <v>20</v>
      </c>
      <c r="H200" s="8" t="s">
        <v>23</v>
      </c>
      <c r="I200" s="79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71">
        <f>DATE(YEAR(Tabela1[[#This Row],[Start Date]]),MONTH(Tabela1[[#This Row],[Start Date]]),1)</f>
        <v>45536</v>
      </c>
      <c r="O200" s="72">
        <f>YEAR(Tabela1[[#This Row],[Start Date]])</f>
        <v>2024</v>
      </c>
    </row>
    <row r="201" spans="1:15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79">
        <v>5</v>
      </c>
      <c r="G201" s="8" t="s">
        <v>27</v>
      </c>
      <c r="H201" s="8" t="s">
        <v>23</v>
      </c>
      <c r="I201" s="79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71">
        <f>DATE(YEAR(Tabela1[[#This Row],[Start Date]]),MONTH(Tabela1[[#This Row],[Start Date]]),1)</f>
        <v>45536</v>
      </c>
      <c r="O201" s="72">
        <f>YEAR(Tabela1[[#This Row],[Start Date]])</f>
        <v>2024</v>
      </c>
    </row>
    <row r="202" spans="1:15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79">
        <v>15</v>
      </c>
      <c r="G202" s="8" t="s">
        <v>20</v>
      </c>
      <c r="H202" s="8" t="s">
        <v>19</v>
      </c>
      <c r="I202" s="79">
        <v>30</v>
      </c>
      <c r="J202" s="8" t="s">
        <v>19</v>
      </c>
      <c r="K202" s="11">
        <v>20</v>
      </c>
      <c r="L202" s="11">
        <v>15</v>
      </c>
      <c r="M202" s="11">
        <v>50</v>
      </c>
      <c r="N202" s="71">
        <f>DATE(YEAR(Tabela1[[#This Row],[Start Date]]),MONTH(Tabela1[[#This Row],[Start Date]]),1)</f>
        <v>45536</v>
      </c>
      <c r="O202" s="72">
        <f>YEAR(Tabela1[[#This Row],[Start Date]])</f>
        <v>2024</v>
      </c>
    </row>
    <row r="203" spans="1:15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79">
        <v>10</v>
      </c>
      <c r="G203" s="8" t="s">
        <v>24</v>
      </c>
      <c r="H203" s="8" t="s">
        <v>23</v>
      </c>
      <c r="I203" s="79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71">
        <f>DATE(YEAR(Tabela1[[#This Row],[Start Date]]),MONTH(Tabela1[[#This Row],[Start Date]]),1)</f>
        <v>45536</v>
      </c>
      <c r="O203" s="72">
        <f>YEAR(Tabela1[[#This Row],[Start Date]])</f>
        <v>2024</v>
      </c>
    </row>
    <row r="204" spans="1:15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79">
        <v>5</v>
      </c>
      <c r="G204" s="8" t="s">
        <v>20</v>
      </c>
      <c r="H204" s="8" t="s">
        <v>23</v>
      </c>
      <c r="I204" s="79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71">
        <f>DATE(YEAR(Tabela1[[#This Row],[Start Date]]),MONTH(Tabela1[[#This Row],[Start Date]]),1)</f>
        <v>45536</v>
      </c>
      <c r="O204" s="72">
        <f>YEAR(Tabela1[[#This Row],[Start Date]])</f>
        <v>2024</v>
      </c>
    </row>
    <row r="205" spans="1:15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79">
        <v>15</v>
      </c>
      <c r="G205" s="8" t="s">
        <v>27</v>
      </c>
      <c r="H205" s="8" t="s">
        <v>19</v>
      </c>
      <c r="I205" s="79">
        <v>30</v>
      </c>
      <c r="J205" s="8" t="s">
        <v>19</v>
      </c>
      <c r="K205" s="11">
        <v>20</v>
      </c>
      <c r="L205" s="11">
        <v>7</v>
      </c>
      <c r="M205" s="11">
        <v>58</v>
      </c>
      <c r="N205" s="71">
        <f>DATE(YEAR(Tabela1[[#This Row],[Start Date]]),MONTH(Tabela1[[#This Row],[Start Date]]),1)</f>
        <v>45536</v>
      </c>
      <c r="O205" s="72">
        <f>YEAR(Tabela1[[#This Row],[Start Date]])</f>
        <v>2024</v>
      </c>
    </row>
    <row r="206" spans="1:15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79">
        <v>10</v>
      </c>
      <c r="G206" s="8" t="s">
        <v>20</v>
      </c>
      <c r="H206" s="8" t="s">
        <v>23</v>
      </c>
      <c r="I206" s="79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71">
        <f>DATE(YEAR(Tabela1[[#This Row],[Start Date]]),MONTH(Tabela1[[#This Row],[Start Date]]),1)</f>
        <v>45536</v>
      </c>
      <c r="O206" s="72">
        <f>YEAR(Tabela1[[#This Row],[Start Date]])</f>
        <v>2024</v>
      </c>
    </row>
    <row r="207" spans="1:15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79">
        <v>5</v>
      </c>
      <c r="G207" s="8" t="s">
        <v>20</v>
      </c>
      <c r="H207" s="8" t="s">
        <v>23</v>
      </c>
      <c r="I207" s="79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71">
        <f>DATE(YEAR(Tabela1[[#This Row],[Start Date]]),MONTH(Tabela1[[#This Row],[Start Date]]),1)</f>
        <v>45536</v>
      </c>
      <c r="O207" s="72">
        <f>YEAR(Tabela1[[#This Row],[Start Date]])</f>
        <v>2024</v>
      </c>
    </row>
    <row r="208" spans="1:15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79">
        <v>15</v>
      </c>
      <c r="G208" s="8" t="s">
        <v>27</v>
      </c>
      <c r="H208" s="8" t="s">
        <v>19</v>
      </c>
      <c r="I208" s="79">
        <v>30</v>
      </c>
      <c r="J208" s="8" t="s">
        <v>19</v>
      </c>
      <c r="K208" s="11">
        <v>20</v>
      </c>
      <c r="L208" s="11">
        <v>7</v>
      </c>
      <c r="M208" s="11">
        <v>58</v>
      </c>
      <c r="N208" s="71">
        <f>DATE(YEAR(Tabela1[[#This Row],[Start Date]]),MONTH(Tabela1[[#This Row],[Start Date]]),1)</f>
        <v>45536</v>
      </c>
      <c r="O208" s="72">
        <f>YEAR(Tabela1[[#This Row],[Start Date]])</f>
        <v>2024</v>
      </c>
    </row>
    <row r="209" spans="1:15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79">
        <v>10</v>
      </c>
      <c r="G209" s="8" t="s">
        <v>24</v>
      </c>
      <c r="H209" s="8" t="s">
        <v>23</v>
      </c>
      <c r="I209" s="79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71">
        <f>DATE(YEAR(Tabela1[[#This Row],[Start Date]]),MONTH(Tabela1[[#This Row],[Start Date]]),1)</f>
        <v>45536</v>
      </c>
      <c r="O209" s="72">
        <f>YEAR(Tabela1[[#This Row],[Start Date]])</f>
        <v>2024</v>
      </c>
    </row>
    <row r="210" spans="1:15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79">
        <v>5</v>
      </c>
      <c r="G210" s="8" t="s">
        <v>27</v>
      </c>
      <c r="H210" s="8" t="s">
        <v>23</v>
      </c>
      <c r="I210" s="79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71">
        <f>DATE(YEAR(Tabela1[[#This Row],[Start Date]]),MONTH(Tabela1[[#This Row],[Start Date]]),1)</f>
        <v>45536</v>
      </c>
      <c r="O210" s="72">
        <f>YEAR(Tabela1[[#This Row],[Start Date]])</f>
        <v>2024</v>
      </c>
    </row>
    <row r="211" spans="1:15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79">
        <v>15</v>
      </c>
      <c r="G211" s="8" t="s">
        <v>20</v>
      </c>
      <c r="H211" s="8" t="s">
        <v>19</v>
      </c>
      <c r="I211" s="79">
        <v>30</v>
      </c>
      <c r="J211" s="8" t="s">
        <v>19</v>
      </c>
      <c r="K211" s="11">
        <v>20</v>
      </c>
      <c r="L211" s="11">
        <v>15</v>
      </c>
      <c r="M211" s="11">
        <v>50</v>
      </c>
      <c r="N211" s="71">
        <f>DATE(YEAR(Tabela1[[#This Row],[Start Date]]),MONTH(Tabela1[[#This Row],[Start Date]]),1)</f>
        <v>45536</v>
      </c>
      <c r="O211" s="72">
        <f>YEAR(Tabela1[[#This Row],[Start Date]])</f>
        <v>2024</v>
      </c>
    </row>
    <row r="212" spans="1:15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79">
        <v>10</v>
      </c>
      <c r="G212" s="8" t="s">
        <v>20</v>
      </c>
      <c r="H212" s="8" t="s">
        <v>23</v>
      </c>
      <c r="I212" s="79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71">
        <f>DATE(YEAR(Tabela1[[#This Row],[Start Date]]),MONTH(Tabela1[[#This Row],[Start Date]]),1)</f>
        <v>45536</v>
      </c>
      <c r="O212" s="72">
        <f>YEAR(Tabela1[[#This Row],[Start Date]])</f>
        <v>2024</v>
      </c>
    </row>
    <row r="213" spans="1:15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79">
        <v>5</v>
      </c>
      <c r="G213" s="8" t="s">
        <v>24</v>
      </c>
      <c r="H213" s="8" t="s">
        <v>23</v>
      </c>
      <c r="I213" s="79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71">
        <f>DATE(YEAR(Tabela1[[#This Row],[Start Date]]),MONTH(Tabela1[[#This Row],[Start Date]]),1)</f>
        <v>45536</v>
      </c>
      <c r="O213" s="72">
        <f>YEAR(Tabela1[[#This Row],[Start Date]])</f>
        <v>2024</v>
      </c>
    </row>
    <row r="214" spans="1:15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79">
        <v>15</v>
      </c>
      <c r="G214" s="8" t="s">
        <v>27</v>
      </c>
      <c r="H214" s="8" t="s">
        <v>19</v>
      </c>
      <c r="I214" s="79">
        <v>30</v>
      </c>
      <c r="J214" s="8" t="s">
        <v>19</v>
      </c>
      <c r="K214" s="11">
        <v>20</v>
      </c>
      <c r="L214" s="11">
        <v>20</v>
      </c>
      <c r="M214" s="11">
        <v>45</v>
      </c>
      <c r="N214" s="71">
        <f>DATE(YEAR(Tabela1[[#This Row],[Start Date]]),MONTH(Tabela1[[#This Row],[Start Date]]),1)</f>
        <v>45536</v>
      </c>
      <c r="O214" s="72">
        <f>YEAR(Tabela1[[#This Row],[Start Date]])</f>
        <v>2024</v>
      </c>
    </row>
    <row r="215" spans="1:15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79">
        <v>10</v>
      </c>
      <c r="G215" s="8" t="s">
        <v>27</v>
      </c>
      <c r="H215" s="8" t="s">
        <v>23</v>
      </c>
      <c r="I215" s="79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71">
        <f>DATE(YEAR(Tabela1[[#This Row],[Start Date]]),MONTH(Tabela1[[#This Row],[Start Date]]),1)</f>
        <v>45536</v>
      </c>
      <c r="O215" s="72">
        <f>YEAR(Tabela1[[#This Row],[Start Date]])</f>
        <v>2024</v>
      </c>
    </row>
    <row r="216" spans="1:15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79">
        <v>5</v>
      </c>
      <c r="G216" s="8" t="s">
        <v>20</v>
      </c>
      <c r="H216" s="8" t="s">
        <v>23</v>
      </c>
      <c r="I216" s="79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71">
        <f>DATE(YEAR(Tabela1[[#This Row],[Start Date]]),MONTH(Tabela1[[#This Row],[Start Date]]),1)</f>
        <v>45536</v>
      </c>
      <c r="O216" s="72">
        <f>YEAR(Tabela1[[#This Row],[Start Date]])</f>
        <v>2024</v>
      </c>
    </row>
    <row r="217" spans="1:15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79">
        <v>15</v>
      </c>
      <c r="G217" s="8" t="s">
        <v>24</v>
      </c>
      <c r="H217" s="8" t="s">
        <v>19</v>
      </c>
      <c r="I217" s="79">
        <v>30</v>
      </c>
      <c r="J217" s="8" t="s">
        <v>19</v>
      </c>
      <c r="K217" s="11">
        <v>20</v>
      </c>
      <c r="L217" s="11">
        <v>5</v>
      </c>
      <c r="M217" s="11">
        <v>60</v>
      </c>
      <c r="N217" s="71">
        <f>DATE(YEAR(Tabela1[[#This Row],[Start Date]]),MONTH(Tabela1[[#This Row],[Start Date]]),1)</f>
        <v>45536</v>
      </c>
      <c r="O217" s="72">
        <f>YEAR(Tabela1[[#This Row],[Start Date]])</f>
        <v>2024</v>
      </c>
    </row>
    <row r="218" spans="1:15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79">
        <v>10</v>
      </c>
      <c r="G218" s="8" t="s">
        <v>20</v>
      </c>
      <c r="H218" s="8" t="s">
        <v>23</v>
      </c>
      <c r="I218" s="79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71">
        <f>DATE(YEAR(Tabela1[[#This Row],[Start Date]]),MONTH(Tabela1[[#This Row],[Start Date]]),1)</f>
        <v>45536</v>
      </c>
      <c r="O218" s="72">
        <f>YEAR(Tabela1[[#This Row],[Start Date]])</f>
        <v>2024</v>
      </c>
    </row>
    <row r="219" spans="1:15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79">
        <v>5</v>
      </c>
      <c r="G219" s="8" t="s">
        <v>27</v>
      </c>
      <c r="H219" s="8" t="s">
        <v>23</v>
      </c>
      <c r="I219" s="79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71">
        <f>DATE(YEAR(Tabela1[[#This Row],[Start Date]]),MONTH(Tabela1[[#This Row],[Start Date]]),1)</f>
        <v>45536</v>
      </c>
      <c r="O219" s="72">
        <f>YEAR(Tabela1[[#This Row],[Start Date]])</f>
        <v>2024</v>
      </c>
    </row>
    <row r="220" spans="1:15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79">
        <v>15</v>
      </c>
      <c r="G220" s="8" t="s">
        <v>20</v>
      </c>
      <c r="H220" s="8" t="s">
        <v>19</v>
      </c>
      <c r="I220" s="79">
        <v>30</v>
      </c>
      <c r="J220" s="8" t="s">
        <v>19</v>
      </c>
      <c r="K220" s="11">
        <v>20</v>
      </c>
      <c r="L220" s="11">
        <v>3</v>
      </c>
      <c r="M220" s="11">
        <v>62</v>
      </c>
      <c r="N220" s="71">
        <f>DATE(YEAR(Tabela1[[#This Row],[Start Date]]),MONTH(Tabela1[[#This Row],[Start Date]]),1)</f>
        <v>45566</v>
      </c>
      <c r="O220" s="72">
        <f>YEAR(Tabela1[[#This Row],[Start Date]])</f>
        <v>2024</v>
      </c>
    </row>
    <row r="221" spans="1:15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79">
        <v>10</v>
      </c>
      <c r="G221" s="8" t="s">
        <v>24</v>
      </c>
      <c r="H221" s="8" t="s">
        <v>23</v>
      </c>
      <c r="I221" s="79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71">
        <f>DATE(YEAR(Tabela1[[#This Row],[Start Date]]),MONTH(Tabela1[[#This Row],[Start Date]]),1)</f>
        <v>45566</v>
      </c>
      <c r="O221" s="72">
        <f>YEAR(Tabela1[[#This Row],[Start Date]])</f>
        <v>2024</v>
      </c>
    </row>
    <row r="222" spans="1:15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79">
        <v>5</v>
      </c>
      <c r="G222" s="8" t="s">
        <v>20</v>
      </c>
      <c r="H222" s="8" t="s">
        <v>23</v>
      </c>
      <c r="I222" s="79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71">
        <f>DATE(YEAR(Tabela1[[#This Row],[Start Date]]),MONTH(Tabela1[[#This Row],[Start Date]]),1)</f>
        <v>45566</v>
      </c>
      <c r="O222" s="72">
        <f>YEAR(Tabela1[[#This Row],[Start Date]])</f>
        <v>2024</v>
      </c>
    </row>
    <row r="223" spans="1:15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79">
        <v>15</v>
      </c>
      <c r="G223" s="8" t="s">
        <v>27</v>
      </c>
      <c r="H223" s="8" t="s">
        <v>19</v>
      </c>
      <c r="I223" s="79">
        <v>30</v>
      </c>
      <c r="J223" s="8" t="s">
        <v>19</v>
      </c>
      <c r="K223" s="11">
        <v>20</v>
      </c>
      <c r="L223" s="11">
        <v>7</v>
      </c>
      <c r="M223" s="11">
        <v>58</v>
      </c>
      <c r="N223" s="71">
        <f>DATE(YEAR(Tabela1[[#This Row],[Start Date]]),MONTH(Tabela1[[#This Row],[Start Date]]),1)</f>
        <v>45566</v>
      </c>
      <c r="O223" s="72">
        <f>YEAR(Tabela1[[#This Row],[Start Date]])</f>
        <v>2024</v>
      </c>
    </row>
    <row r="224" spans="1:15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79">
        <v>10</v>
      </c>
      <c r="G224" s="8" t="s">
        <v>20</v>
      </c>
      <c r="H224" s="8" t="s">
        <v>23</v>
      </c>
      <c r="I224" s="79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71">
        <f>DATE(YEAR(Tabela1[[#This Row],[Start Date]]),MONTH(Tabela1[[#This Row],[Start Date]]),1)</f>
        <v>45566</v>
      </c>
      <c r="O224" s="72">
        <f>YEAR(Tabela1[[#This Row],[Start Date]])</f>
        <v>2024</v>
      </c>
    </row>
    <row r="225" spans="1:15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79">
        <v>5</v>
      </c>
      <c r="G225" s="8" t="s">
        <v>24</v>
      </c>
      <c r="H225" s="8" t="s">
        <v>23</v>
      </c>
      <c r="I225" s="79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71">
        <f>DATE(YEAR(Tabela1[[#This Row],[Start Date]]),MONTH(Tabela1[[#This Row],[Start Date]]),1)</f>
        <v>45566</v>
      </c>
      <c r="O225" s="72">
        <f>YEAR(Tabela1[[#This Row],[Start Date]])</f>
        <v>2024</v>
      </c>
    </row>
    <row r="226" spans="1:15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79">
        <v>15</v>
      </c>
      <c r="G226" s="8" t="s">
        <v>20</v>
      </c>
      <c r="H226" s="8" t="s">
        <v>19</v>
      </c>
      <c r="I226" s="79">
        <v>30</v>
      </c>
      <c r="J226" s="8" t="s">
        <v>19</v>
      </c>
      <c r="K226" s="11">
        <v>20</v>
      </c>
      <c r="L226" s="11">
        <v>20</v>
      </c>
      <c r="M226" s="11">
        <v>45</v>
      </c>
      <c r="N226" s="71">
        <f>DATE(YEAR(Tabela1[[#This Row],[Start Date]]),MONTH(Tabela1[[#This Row],[Start Date]]),1)</f>
        <v>45566</v>
      </c>
      <c r="O226" s="72">
        <f>YEAR(Tabela1[[#This Row],[Start Date]])</f>
        <v>2024</v>
      </c>
    </row>
    <row r="227" spans="1:15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79">
        <v>10</v>
      </c>
      <c r="G227" s="8" t="s">
        <v>27</v>
      </c>
      <c r="H227" s="8" t="s">
        <v>23</v>
      </c>
      <c r="I227" s="79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71">
        <f>DATE(YEAR(Tabela1[[#This Row],[Start Date]]),MONTH(Tabela1[[#This Row],[Start Date]]),1)</f>
        <v>45566</v>
      </c>
      <c r="O227" s="72">
        <f>YEAR(Tabela1[[#This Row],[Start Date]])</f>
        <v>2024</v>
      </c>
    </row>
    <row r="228" spans="1:15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79">
        <v>5</v>
      </c>
      <c r="G228" s="8" t="s">
        <v>20</v>
      </c>
      <c r="H228" s="8" t="s">
        <v>23</v>
      </c>
      <c r="I228" s="79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71">
        <f>DATE(YEAR(Tabela1[[#This Row],[Start Date]]),MONTH(Tabela1[[#This Row],[Start Date]]),1)</f>
        <v>45566</v>
      </c>
      <c r="O228" s="72">
        <f>YEAR(Tabela1[[#This Row],[Start Date]])</f>
        <v>2024</v>
      </c>
    </row>
    <row r="229" spans="1:15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79">
        <v>15</v>
      </c>
      <c r="G229" s="8" t="s">
        <v>24</v>
      </c>
      <c r="H229" s="8" t="s">
        <v>19</v>
      </c>
      <c r="I229" s="79">
        <v>30</v>
      </c>
      <c r="J229" s="8" t="s">
        <v>19</v>
      </c>
      <c r="K229" s="11">
        <v>20</v>
      </c>
      <c r="L229" s="11">
        <v>3</v>
      </c>
      <c r="M229" s="11">
        <v>62</v>
      </c>
      <c r="N229" s="71">
        <f>DATE(YEAR(Tabela1[[#This Row],[Start Date]]),MONTH(Tabela1[[#This Row],[Start Date]]),1)</f>
        <v>45566</v>
      </c>
      <c r="O229" s="72">
        <f>YEAR(Tabela1[[#This Row],[Start Date]])</f>
        <v>2024</v>
      </c>
    </row>
    <row r="230" spans="1:15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79">
        <v>10</v>
      </c>
      <c r="G230" s="8" t="s">
        <v>20</v>
      </c>
      <c r="H230" s="8" t="s">
        <v>23</v>
      </c>
      <c r="I230" s="79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71">
        <f>DATE(YEAR(Tabela1[[#This Row],[Start Date]]),MONTH(Tabela1[[#This Row],[Start Date]]),1)</f>
        <v>45566</v>
      </c>
      <c r="O230" s="72">
        <f>YEAR(Tabela1[[#This Row],[Start Date]])</f>
        <v>2024</v>
      </c>
    </row>
    <row r="231" spans="1:15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79">
        <v>5</v>
      </c>
      <c r="G231" s="8" t="s">
        <v>27</v>
      </c>
      <c r="H231" s="8" t="s">
        <v>23</v>
      </c>
      <c r="I231" s="79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71">
        <f>DATE(YEAR(Tabela1[[#This Row],[Start Date]]),MONTH(Tabela1[[#This Row],[Start Date]]),1)</f>
        <v>45566</v>
      </c>
      <c r="O231" s="72">
        <f>YEAR(Tabela1[[#This Row],[Start Date]])</f>
        <v>2024</v>
      </c>
    </row>
    <row r="232" spans="1:15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79">
        <v>15</v>
      </c>
      <c r="G232" s="8" t="s">
        <v>20</v>
      </c>
      <c r="H232" s="8" t="s">
        <v>19</v>
      </c>
      <c r="I232" s="79">
        <v>30</v>
      </c>
      <c r="J232" s="8" t="s">
        <v>19</v>
      </c>
      <c r="K232" s="11">
        <v>20</v>
      </c>
      <c r="L232" s="11">
        <v>15</v>
      </c>
      <c r="M232" s="11">
        <v>50</v>
      </c>
      <c r="N232" s="71">
        <f>DATE(YEAR(Tabela1[[#This Row],[Start Date]]),MONTH(Tabela1[[#This Row],[Start Date]]),1)</f>
        <v>45566</v>
      </c>
      <c r="O232" s="72">
        <f>YEAR(Tabela1[[#This Row],[Start Date]])</f>
        <v>2024</v>
      </c>
    </row>
    <row r="233" spans="1:15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79">
        <v>10</v>
      </c>
      <c r="G233" s="8" t="s">
        <v>24</v>
      </c>
      <c r="H233" s="8" t="s">
        <v>23</v>
      </c>
      <c r="I233" s="79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71">
        <f>DATE(YEAR(Tabela1[[#This Row],[Start Date]]),MONTH(Tabela1[[#This Row],[Start Date]]),1)</f>
        <v>45566</v>
      </c>
      <c r="O233" s="72">
        <f>YEAR(Tabela1[[#This Row],[Start Date]])</f>
        <v>2024</v>
      </c>
    </row>
    <row r="234" spans="1:15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79">
        <v>5</v>
      </c>
      <c r="G234" s="8" t="s">
        <v>20</v>
      </c>
      <c r="H234" s="8" t="s">
        <v>23</v>
      </c>
      <c r="I234" s="79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71">
        <f>DATE(YEAR(Tabela1[[#This Row],[Start Date]]),MONTH(Tabela1[[#This Row],[Start Date]]),1)</f>
        <v>45566</v>
      </c>
      <c r="O234" s="72">
        <f>YEAR(Tabela1[[#This Row],[Start Date]])</f>
        <v>2024</v>
      </c>
    </row>
    <row r="235" spans="1:15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79">
        <v>15</v>
      </c>
      <c r="G235" s="8" t="s">
        <v>27</v>
      </c>
      <c r="H235" s="8" t="s">
        <v>19</v>
      </c>
      <c r="I235" s="79">
        <v>30</v>
      </c>
      <c r="J235" s="8" t="s">
        <v>19</v>
      </c>
      <c r="K235" s="11">
        <v>20</v>
      </c>
      <c r="L235" s="11">
        <v>7</v>
      </c>
      <c r="M235" s="11">
        <v>58</v>
      </c>
      <c r="N235" s="71">
        <f>DATE(YEAR(Tabela1[[#This Row],[Start Date]]),MONTH(Tabela1[[#This Row],[Start Date]]),1)</f>
        <v>45566</v>
      </c>
      <c r="O235" s="72">
        <f>YEAR(Tabela1[[#This Row],[Start Date]])</f>
        <v>2024</v>
      </c>
    </row>
    <row r="236" spans="1:15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79">
        <v>10</v>
      </c>
      <c r="G236" s="8" t="s">
        <v>20</v>
      </c>
      <c r="H236" s="8" t="s">
        <v>23</v>
      </c>
      <c r="I236" s="79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71">
        <f>DATE(YEAR(Tabela1[[#This Row],[Start Date]]),MONTH(Tabela1[[#This Row],[Start Date]]),1)</f>
        <v>45566</v>
      </c>
      <c r="O236" s="72">
        <f>YEAR(Tabela1[[#This Row],[Start Date]])</f>
        <v>2024</v>
      </c>
    </row>
    <row r="237" spans="1:15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79">
        <v>5</v>
      </c>
      <c r="G237" s="8" t="s">
        <v>24</v>
      </c>
      <c r="H237" s="8" t="s">
        <v>23</v>
      </c>
      <c r="I237" s="79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71">
        <f>DATE(YEAR(Tabela1[[#This Row],[Start Date]]),MONTH(Tabela1[[#This Row],[Start Date]]),1)</f>
        <v>45566</v>
      </c>
      <c r="O237" s="72">
        <f>YEAR(Tabela1[[#This Row],[Start Date]])</f>
        <v>2024</v>
      </c>
    </row>
    <row r="238" spans="1:15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79">
        <v>15</v>
      </c>
      <c r="G238" s="8" t="s">
        <v>20</v>
      </c>
      <c r="H238" s="8" t="s">
        <v>19</v>
      </c>
      <c r="I238" s="79">
        <v>30</v>
      </c>
      <c r="J238" s="8" t="s">
        <v>19</v>
      </c>
      <c r="K238" s="11">
        <v>20</v>
      </c>
      <c r="L238" s="11">
        <v>15</v>
      </c>
      <c r="M238" s="11">
        <v>50</v>
      </c>
      <c r="N238" s="71">
        <f>DATE(YEAR(Tabela1[[#This Row],[Start Date]]),MONTH(Tabela1[[#This Row],[Start Date]]),1)</f>
        <v>45566</v>
      </c>
      <c r="O238" s="72">
        <f>YEAR(Tabela1[[#This Row],[Start Date]])</f>
        <v>2024</v>
      </c>
    </row>
    <row r="239" spans="1:15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79">
        <v>10</v>
      </c>
      <c r="G239" s="8" t="s">
        <v>27</v>
      </c>
      <c r="H239" s="8" t="s">
        <v>23</v>
      </c>
      <c r="I239" s="79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71">
        <f>DATE(YEAR(Tabela1[[#This Row],[Start Date]]),MONTH(Tabela1[[#This Row],[Start Date]]),1)</f>
        <v>45566</v>
      </c>
      <c r="O239" s="72">
        <f>YEAR(Tabela1[[#This Row],[Start Date]])</f>
        <v>2024</v>
      </c>
    </row>
    <row r="240" spans="1:15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79">
        <v>5</v>
      </c>
      <c r="G240" s="8" t="s">
        <v>20</v>
      </c>
      <c r="H240" s="8" t="s">
        <v>23</v>
      </c>
      <c r="I240" s="79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71">
        <f>DATE(YEAR(Tabela1[[#This Row],[Start Date]]),MONTH(Tabela1[[#This Row],[Start Date]]),1)</f>
        <v>45566</v>
      </c>
      <c r="O240" s="72">
        <f>YEAR(Tabela1[[#This Row],[Start Date]])</f>
        <v>2024</v>
      </c>
    </row>
    <row r="241" spans="1:15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79">
        <v>15</v>
      </c>
      <c r="G241" s="8" t="s">
        <v>24</v>
      </c>
      <c r="H241" s="8" t="s">
        <v>19</v>
      </c>
      <c r="I241" s="79">
        <v>30</v>
      </c>
      <c r="J241" s="8" t="s">
        <v>19</v>
      </c>
      <c r="K241" s="11">
        <v>20</v>
      </c>
      <c r="L241" s="11">
        <v>5</v>
      </c>
      <c r="M241" s="11">
        <v>60</v>
      </c>
      <c r="N241" s="71">
        <f>DATE(YEAR(Tabela1[[#This Row],[Start Date]]),MONTH(Tabela1[[#This Row],[Start Date]]),1)</f>
        <v>45566</v>
      </c>
      <c r="O241" s="72">
        <f>YEAR(Tabela1[[#This Row],[Start Date]])</f>
        <v>2024</v>
      </c>
    </row>
    <row r="242" spans="1:15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79">
        <v>10</v>
      </c>
      <c r="G242" s="8" t="s">
        <v>20</v>
      </c>
      <c r="H242" s="8" t="s">
        <v>23</v>
      </c>
      <c r="I242" s="79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71">
        <f>DATE(YEAR(Tabela1[[#This Row],[Start Date]]),MONTH(Tabela1[[#This Row],[Start Date]]),1)</f>
        <v>45566</v>
      </c>
      <c r="O242" s="72">
        <f>YEAR(Tabela1[[#This Row],[Start Date]])</f>
        <v>2024</v>
      </c>
    </row>
    <row r="243" spans="1:15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79">
        <v>5</v>
      </c>
      <c r="G243" s="8" t="s">
        <v>27</v>
      </c>
      <c r="H243" s="8" t="s">
        <v>23</v>
      </c>
      <c r="I243" s="79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71">
        <f>DATE(YEAR(Tabela1[[#This Row],[Start Date]]),MONTH(Tabela1[[#This Row],[Start Date]]),1)</f>
        <v>45566</v>
      </c>
      <c r="O243" s="72">
        <f>YEAR(Tabela1[[#This Row],[Start Date]])</f>
        <v>2024</v>
      </c>
    </row>
    <row r="244" spans="1:15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79">
        <v>15</v>
      </c>
      <c r="G244" s="8" t="s">
        <v>20</v>
      </c>
      <c r="H244" s="8" t="s">
        <v>19</v>
      </c>
      <c r="I244" s="79">
        <v>30</v>
      </c>
      <c r="J244" s="8" t="s">
        <v>19</v>
      </c>
      <c r="K244" s="11">
        <v>20</v>
      </c>
      <c r="L244" s="11">
        <v>3</v>
      </c>
      <c r="M244" s="11">
        <v>62</v>
      </c>
      <c r="N244" s="71">
        <f>DATE(YEAR(Tabela1[[#This Row],[Start Date]]),MONTH(Tabela1[[#This Row],[Start Date]]),1)</f>
        <v>45566</v>
      </c>
      <c r="O244" s="72">
        <f>YEAR(Tabela1[[#This Row],[Start Date]])</f>
        <v>2024</v>
      </c>
    </row>
    <row r="245" spans="1:15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79">
        <v>10</v>
      </c>
      <c r="G245" s="8" t="s">
        <v>24</v>
      </c>
      <c r="H245" s="8" t="s">
        <v>23</v>
      </c>
      <c r="I245" s="79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71">
        <f>DATE(YEAR(Tabela1[[#This Row],[Start Date]]),MONTH(Tabela1[[#This Row],[Start Date]]),1)</f>
        <v>45566</v>
      </c>
      <c r="O245" s="72">
        <f>YEAR(Tabela1[[#This Row],[Start Date]])</f>
        <v>2024</v>
      </c>
    </row>
    <row r="246" spans="1:15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79">
        <v>5</v>
      </c>
      <c r="G246" s="8" t="s">
        <v>20</v>
      </c>
      <c r="H246" s="8" t="s">
        <v>23</v>
      </c>
      <c r="I246" s="79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71">
        <f>DATE(YEAR(Tabela1[[#This Row],[Start Date]]),MONTH(Tabela1[[#This Row],[Start Date]]),1)</f>
        <v>45566</v>
      </c>
      <c r="O246" s="72">
        <f>YEAR(Tabela1[[#This Row],[Start Date]])</f>
        <v>2024</v>
      </c>
    </row>
    <row r="247" spans="1:15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79">
        <v>15</v>
      </c>
      <c r="G247" s="8" t="s">
        <v>27</v>
      </c>
      <c r="H247" s="8" t="s">
        <v>19</v>
      </c>
      <c r="I247" s="79">
        <v>30</v>
      </c>
      <c r="J247" s="8" t="s">
        <v>19</v>
      </c>
      <c r="K247" s="11">
        <v>20</v>
      </c>
      <c r="L247" s="11">
        <v>7</v>
      </c>
      <c r="M247" s="11">
        <v>58</v>
      </c>
      <c r="N247" s="71">
        <f>DATE(YEAR(Tabela1[[#This Row],[Start Date]]),MONTH(Tabela1[[#This Row],[Start Date]]),1)</f>
        <v>45566</v>
      </c>
      <c r="O247" s="72">
        <f>YEAR(Tabela1[[#This Row],[Start Date]])</f>
        <v>2024</v>
      </c>
    </row>
    <row r="248" spans="1:15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79">
        <v>10</v>
      </c>
      <c r="G248" s="8" t="s">
        <v>20</v>
      </c>
      <c r="H248" s="8" t="s">
        <v>23</v>
      </c>
      <c r="I248" s="79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71">
        <f>DATE(YEAR(Tabela1[[#This Row],[Start Date]]),MONTH(Tabela1[[#This Row],[Start Date]]),1)</f>
        <v>45566</v>
      </c>
      <c r="O248" s="72">
        <f>YEAR(Tabela1[[#This Row],[Start Date]])</f>
        <v>2024</v>
      </c>
    </row>
    <row r="249" spans="1:15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79">
        <v>5</v>
      </c>
      <c r="G249" s="8" t="s">
        <v>24</v>
      </c>
      <c r="H249" s="8" t="s">
        <v>23</v>
      </c>
      <c r="I249" s="79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71">
        <f>DATE(YEAR(Tabela1[[#This Row],[Start Date]]),MONTH(Tabela1[[#This Row],[Start Date]]),1)</f>
        <v>45566</v>
      </c>
      <c r="O249" s="72">
        <f>YEAR(Tabela1[[#This Row],[Start Date]])</f>
        <v>2024</v>
      </c>
    </row>
    <row r="250" spans="1:15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79">
        <v>15</v>
      </c>
      <c r="G250" s="8" t="s">
        <v>20</v>
      </c>
      <c r="H250" s="8" t="s">
        <v>19</v>
      </c>
      <c r="I250" s="79">
        <v>30</v>
      </c>
      <c r="J250" s="8" t="s">
        <v>19</v>
      </c>
      <c r="K250" s="11">
        <v>20</v>
      </c>
      <c r="L250" s="11">
        <v>20</v>
      </c>
      <c r="M250" s="11">
        <v>45</v>
      </c>
      <c r="N250" s="71">
        <f>DATE(YEAR(Tabela1[[#This Row],[Start Date]]),MONTH(Tabela1[[#This Row],[Start Date]]),1)</f>
        <v>45566</v>
      </c>
      <c r="O250" s="72">
        <f>YEAR(Tabela1[[#This Row],[Start Date]])</f>
        <v>2024</v>
      </c>
    </row>
    <row r="251" spans="1:15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79">
        <v>10</v>
      </c>
      <c r="G251" s="8" t="s">
        <v>27</v>
      </c>
      <c r="H251" s="8" t="s">
        <v>23</v>
      </c>
      <c r="I251" s="79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71">
        <f>DATE(YEAR(Tabela1[[#This Row],[Start Date]]),MONTH(Tabela1[[#This Row],[Start Date]]),1)</f>
        <v>45597</v>
      </c>
      <c r="O251" s="72">
        <f>YEAR(Tabela1[[#This Row],[Start Date]])</f>
        <v>2024</v>
      </c>
    </row>
    <row r="252" spans="1:15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79">
        <v>5</v>
      </c>
      <c r="G252" s="8" t="s">
        <v>20</v>
      </c>
      <c r="H252" s="8" t="s">
        <v>23</v>
      </c>
      <c r="I252" s="79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71">
        <f>DATE(YEAR(Tabela1[[#This Row],[Start Date]]),MONTH(Tabela1[[#This Row],[Start Date]]),1)</f>
        <v>45597</v>
      </c>
      <c r="O252" s="72">
        <f>YEAR(Tabela1[[#This Row],[Start Date]])</f>
        <v>2024</v>
      </c>
    </row>
    <row r="253" spans="1:15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79">
        <v>15</v>
      </c>
      <c r="G253" s="8" t="s">
        <v>24</v>
      </c>
      <c r="H253" s="8" t="s">
        <v>19</v>
      </c>
      <c r="I253" s="79">
        <v>30</v>
      </c>
      <c r="J253" s="8" t="s">
        <v>19</v>
      </c>
      <c r="K253" s="11">
        <v>20</v>
      </c>
      <c r="L253" s="11">
        <v>3</v>
      </c>
      <c r="M253" s="11">
        <v>62</v>
      </c>
      <c r="N253" s="71">
        <f>DATE(YEAR(Tabela1[[#This Row],[Start Date]]),MONTH(Tabela1[[#This Row],[Start Date]]),1)</f>
        <v>45597</v>
      </c>
      <c r="O253" s="72">
        <f>YEAR(Tabela1[[#This Row],[Start Date]])</f>
        <v>2024</v>
      </c>
    </row>
    <row r="254" spans="1:15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79">
        <v>10</v>
      </c>
      <c r="G254" s="8" t="s">
        <v>20</v>
      </c>
      <c r="H254" s="8" t="s">
        <v>23</v>
      </c>
      <c r="I254" s="79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71">
        <f>DATE(YEAR(Tabela1[[#This Row],[Start Date]]),MONTH(Tabela1[[#This Row],[Start Date]]),1)</f>
        <v>45597</v>
      </c>
      <c r="O254" s="72">
        <f>YEAR(Tabela1[[#This Row],[Start Date]])</f>
        <v>2024</v>
      </c>
    </row>
    <row r="255" spans="1:15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79">
        <v>5</v>
      </c>
      <c r="G255" s="8" t="s">
        <v>27</v>
      </c>
      <c r="H255" s="8" t="s">
        <v>23</v>
      </c>
      <c r="I255" s="79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71">
        <f>DATE(YEAR(Tabela1[[#This Row],[Start Date]]),MONTH(Tabela1[[#This Row],[Start Date]]),1)</f>
        <v>45597</v>
      </c>
      <c r="O255" s="72">
        <f>YEAR(Tabela1[[#This Row],[Start Date]])</f>
        <v>2024</v>
      </c>
    </row>
    <row r="256" spans="1:15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79">
        <v>15</v>
      </c>
      <c r="G256" s="8" t="s">
        <v>20</v>
      </c>
      <c r="H256" s="8" t="s">
        <v>19</v>
      </c>
      <c r="I256" s="79">
        <v>30</v>
      </c>
      <c r="J256" s="8" t="s">
        <v>19</v>
      </c>
      <c r="K256" s="11">
        <v>20</v>
      </c>
      <c r="L256" s="11">
        <v>15</v>
      </c>
      <c r="M256" s="11">
        <v>50</v>
      </c>
      <c r="N256" s="71">
        <f>DATE(YEAR(Tabela1[[#This Row],[Start Date]]),MONTH(Tabela1[[#This Row],[Start Date]]),1)</f>
        <v>45597</v>
      </c>
      <c r="O256" s="72">
        <f>YEAR(Tabela1[[#This Row],[Start Date]])</f>
        <v>2024</v>
      </c>
    </row>
    <row r="257" spans="1:15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79">
        <v>5</v>
      </c>
      <c r="G257" s="8" t="s">
        <v>20</v>
      </c>
      <c r="H257" s="8" t="s">
        <v>23</v>
      </c>
      <c r="I257" s="79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71">
        <f>DATE(YEAR(Tabela1[[#This Row],[Start Date]]),MONTH(Tabela1[[#This Row],[Start Date]]),1)</f>
        <v>45597</v>
      </c>
      <c r="O257" s="72">
        <f>YEAR(Tabela1[[#This Row],[Start Date]])</f>
        <v>2024</v>
      </c>
    </row>
    <row r="258" spans="1:15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79">
        <v>15</v>
      </c>
      <c r="G258" s="8" t="s">
        <v>27</v>
      </c>
      <c r="H258" s="8" t="s">
        <v>19</v>
      </c>
      <c r="I258" s="79">
        <v>30</v>
      </c>
      <c r="J258" s="8" t="s">
        <v>19</v>
      </c>
      <c r="K258" s="11">
        <v>20</v>
      </c>
      <c r="L258" s="11">
        <v>7</v>
      </c>
      <c r="M258" s="11">
        <v>58</v>
      </c>
      <c r="N258" s="71">
        <f>DATE(YEAR(Tabela1[[#This Row],[Start Date]]),MONTH(Tabela1[[#This Row],[Start Date]]),1)</f>
        <v>45597</v>
      </c>
      <c r="O258" s="72">
        <f>YEAR(Tabela1[[#This Row],[Start Date]])</f>
        <v>2024</v>
      </c>
    </row>
    <row r="259" spans="1:15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79">
        <v>10</v>
      </c>
      <c r="G259" s="8" t="s">
        <v>24</v>
      </c>
      <c r="H259" s="8" t="s">
        <v>23</v>
      </c>
      <c r="I259" s="79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71">
        <f>DATE(YEAR(Tabela1[[#This Row],[Start Date]]),MONTH(Tabela1[[#This Row],[Start Date]]),1)</f>
        <v>45597</v>
      </c>
      <c r="O259" s="72">
        <f>YEAR(Tabela1[[#This Row],[Start Date]])</f>
        <v>2024</v>
      </c>
    </row>
    <row r="260" spans="1:15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79">
        <v>5</v>
      </c>
      <c r="G260" s="8" t="s">
        <v>27</v>
      </c>
      <c r="H260" s="8" t="s">
        <v>23</v>
      </c>
      <c r="I260" s="79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71">
        <f>DATE(YEAR(Tabela1[[#This Row],[Start Date]]),MONTH(Tabela1[[#This Row],[Start Date]]),1)</f>
        <v>45597</v>
      </c>
      <c r="O260" s="72">
        <f>YEAR(Tabela1[[#This Row],[Start Date]])</f>
        <v>2024</v>
      </c>
    </row>
    <row r="261" spans="1:15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79">
        <v>15</v>
      </c>
      <c r="G261" s="8" t="s">
        <v>20</v>
      </c>
      <c r="H261" s="8" t="s">
        <v>19</v>
      </c>
      <c r="I261" s="79">
        <v>30</v>
      </c>
      <c r="J261" s="8" t="s">
        <v>19</v>
      </c>
      <c r="K261" s="11">
        <v>20</v>
      </c>
      <c r="L261" s="11">
        <v>15</v>
      </c>
      <c r="M261" s="11">
        <v>50</v>
      </c>
      <c r="N261" s="71">
        <f>DATE(YEAR(Tabela1[[#This Row],[Start Date]]),MONTH(Tabela1[[#This Row],[Start Date]]),1)</f>
        <v>45597</v>
      </c>
      <c r="O261" s="72">
        <f>YEAR(Tabela1[[#This Row],[Start Date]])</f>
        <v>2024</v>
      </c>
    </row>
    <row r="262" spans="1:15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79">
        <v>10</v>
      </c>
      <c r="G262" s="8" t="s">
        <v>20</v>
      </c>
      <c r="H262" s="8" t="s">
        <v>23</v>
      </c>
      <c r="I262" s="79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71">
        <f>DATE(YEAR(Tabela1[[#This Row],[Start Date]]),MONTH(Tabela1[[#This Row],[Start Date]]),1)</f>
        <v>45597</v>
      </c>
      <c r="O262" s="72">
        <f>YEAR(Tabela1[[#This Row],[Start Date]])</f>
        <v>2024</v>
      </c>
    </row>
    <row r="263" spans="1:15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79">
        <v>5</v>
      </c>
      <c r="G263" s="8" t="s">
        <v>24</v>
      </c>
      <c r="H263" s="8" t="s">
        <v>23</v>
      </c>
      <c r="I263" s="79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71">
        <f>DATE(YEAR(Tabela1[[#This Row],[Start Date]]),MONTH(Tabela1[[#This Row],[Start Date]]),1)</f>
        <v>45597</v>
      </c>
      <c r="O263" s="72">
        <f>YEAR(Tabela1[[#This Row],[Start Date]])</f>
        <v>2024</v>
      </c>
    </row>
    <row r="264" spans="1:15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79">
        <v>15</v>
      </c>
      <c r="G264" s="8" t="s">
        <v>27</v>
      </c>
      <c r="H264" s="8" t="s">
        <v>19</v>
      </c>
      <c r="I264" s="79">
        <v>30</v>
      </c>
      <c r="J264" s="8" t="s">
        <v>19</v>
      </c>
      <c r="K264" s="11">
        <v>20</v>
      </c>
      <c r="L264" s="11">
        <v>20</v>
      </c>
      <c r="M264" s="11">
        <v>45</v>
      </c>
      <c r="N264" s="71">
        <f>DATE(YEAR(Tabela1[[#This Row],[Start Date]]),MONTH(Tabela1[[#This Row],[Start Date]]),1)</f>
        <v>45597</v>
      </c>
      <c r="O264" s="72">
        <f>YEAR(Tabela1[[#This Row],[Start Date]])</f>
        <v>2024</v>
      </c>
    </row>
    <row r="265" spans="1:15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79">
        <v>10</v>
      </c>
      <c r="G265" s="8" t="s">
        <v>27</v>
      </c>
      <c r="H265" s="8" t="s">
        <v>23</v>
      </c>
      <c r="I265" s="79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71">
        <f>DATE(YEAR(Tabela1[[#This Row],[Start Date]]),MONTH(Tabela1[[#This Row],[Start Date]]),1)</f>
        <v>45597</v>
      </c>
      <c r="O265" s="72">
        <f>YEAR(Tabela1[[#This Row],[Start Date]])</f>
        <v>2024</v>
      </c>
    </row>
    <row r="266" spans="1:15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79">
        <v>5</v>
      </c>
      <c r="G266" s="8" t="s">
        <v>20</v>
      </c>
      <c r="H266" s="8" t="s">
        <v>23</v>
      </c>
      <c r="I266" s="79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71">
        <f>DATE(YEAR(Tabela1[[#This Row],[Start Date]]),MONTH(Tabela1[[#This Row],[Start Date]]),1)</f>
        <v>45597</v>
      </c>
      <c r="O266" s="72">
        <f>YEAR(Tabela1[[#This Row],[Start Date]])</f>
        <v>2024</v>
      </c>
    </row>
    <row r="267" spans="1:15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79">
        <v>15</v>
      </c>
      <c r="G267" s="8" t="s">
        <v>24</v>
      </c>
      <c r="H267" s="8" t="s">
        <v>19</v>
      </c>
      <c r="I267" s="79">
        <v>30</v>
      </c>
      <c r="J267" s="8" t="s">
        <v>19</v>
      </c>
      <c r="K267" s="11">
        <v>20</v>
      </c>
      <c r="L267" s="11">
        <v>5</v>
      </c>
      <c r="M267" s="11">
        <v>60</v>
      </c>
      <c r="N267" s="71">
        <f>DATE(YEAR(Tabela1[[#This Row],[Start Date]]),MONTH(Tabela1[[#This Row],[Start Date]]),1)</f>
        <v>45597</v>
      </c>
      <c r="O267" s="72">
        <f>YEAR(Tabela1[[#This Row],[Start Date]])</f>
        <v>2024</v>
      </c>
    </row>
    <row r="268" spans="1:15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79">
        <v>10</v>
      </c>
      <c r="G268" s="8" t="s">
        <v>20</v>
      </c>
      <c r="H268" s="8" t="s">
        <v>23</v>
      </c>
      <c r="I268" s="79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71">
        <f>DATE(YEAR(Tabela1[[#This Row],[Start Date]]),MONTH(Tabela1[[#This Row],[Start Date]]),1)</f>
        <v>45597</v>
      </c>
      <c r="O268" s="72">
        <f>YEAR(Tabela1[[#This Row],[Start Date]])</f>
        <v>2024</v>
      </c>
    </row>
    <row r="269" spans="1:15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79">
        <v>5</v>
      </c>
      <c r="G269" s="8" t="s">
        <v>27</v>
      </c>
      <c r="H269" s="8" t="s">
        <v>23</v>
      </c>
      <c r="I269" s="79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71">
        <f>DATE(YEAR(Tabela1[[#This Row],[Start Date]]),MONTH(Tabela1[[#This Row],[Start Date]]),1)</f>
        <v>45597</v>
      </c>
      <c r="O269" s="72">
        <f>YEAR(Tabela1[[#This Row],[Start Date]])</f>
        <v>2024</v>
      </c>
    </row>
    <row r="270" spans="1:15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79">
        <v>15</v>
      </c>
      <c r="G270" s="8" t="s">
        <v>20</v>
      </c>
      <c r="H270" s="8" t="s">
        <v>19</v>
      </c>
      <c r="I270" s="79">
        <v>30</v>
      </c>
      <c r="J270" s="8" t="s">
        <v>19</v>
      </c>
      <c r="K270" s="11">
        <v>20</v>
      </c>
      <c r="L270" s="11">
        <v>3</v>
      </c>
      <c r="M270" s="11">
        <v>62</v>
      </c>
      <c r="N270" s="71">
        <f>DATE(YEAR(Tabela1[[#This Row],[Start Date]]),MONTH(Tabela1[[#This Row],[Start Date]]),1)</f>
        <v>45597</v>
      </c>
      <c r="O270" s="72">
        <f>YEAR(Tabela1[[#This Row],[Start Date]])</f>
        <v>2024</v>
      </c>
    </row>
    <row r="271" spans="1:15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79">
        <v>10</v>
      </c>
      <c r="G271" s="8" t="s">
        <v>24</v>
      </c>
      <c r="H271" s="8" t="s">
        <v>23</v>
      </c>
      <c r="I271" s="79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71">
        <f>DATE(YEAR(Tabela1[[#This Row],[Start Date]]),MONTH(Tabela1[[#This Row],[Start Date]]),1)</f>
        <v>45597</v>
      </c>
      <c r="O271" s="72">
        <f>YEAR(Tabela1[[#This Row],[Start Date]])</f>
        <v>2024</v>
      </c>
    </row>
    <row r="272" spans="1:15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79">
        <v>5</v>
      </c>
      <c r="G272" s="8" t="s">
        <v>20</v>
      </c>
      <c r="H272" s="8" t="s">
        <v>23</v>
      </c>
      <c r="I272" s="79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71">
        <f>DATE(YEAR(Tabela1[[#This Row],[Start Date]]),MONTH(Tabela1[[#This Row],[Start Date]]),1)</f>
        <v>45597</v>
      </c>
      <c r="O272" s="72">
        <f>YEAR(Tabela1[[#This Row],[Start Date]])</f>
        <v>2024</v>
      </c>
    </row>
    <row r="273" spans="1:15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79">
        <v>15</v>
      </c>
      <c r="G273" s="8" t="s">
        <v>27</v>
      </c>
      <c r="H273" s="8" t="s">
        <v>19</v>
      </c>
      <c r="I273" s="79">
        <v>30</v>
      </c>
      <c r="J273" s="8" t="s">
        <v>19</v>
      </c>
      <c r="K273" s="11">
        <v>20</v>
      </c>
      <c r="L273" s="11">
        <v>7</v>
      </c>
      <c r="M273" s="11">
        <v>58</v>
      </c>
      <c r="N273" s="71">
        <f>DATE(YEAR(Tabela1[[#This Row],[Start Date]]),MONTH(Tabela1[[#This Row],[Start Date]]),1)</f>
        <v>45597</v>
      </c>
      <c r="O273" s="72">
        <f>YEAR(Tabela1[[#This Row],[Start Date]])</f>
        <v>2024</v>
      </c>
    </row>
    <row r="274" spans="1:15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79">
        <v>10</v>
      </c>
      <c r="G274" s="8" t="s">
        <v>20</v>
      </c>
      <c r="H274" s="8" t="s">
        <v>23</v>
      </c>
      <c r="I274" s="79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71">
        <f>DATE(YEAR(Tabela1[[#This Row],[Start Date]]),MONTH(Tabela1[[#This Row],[Start Date]]),1)</f>
        <v>45597</v>
      </c>
      <c r="O274" s="72">
        <f>YEAR(Tabela1[[#This Row],[Start Date]])</f>
        <v>2024</v>
      </c>
    </row>
    <row r="275" spans="1:15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79">
        <v>5</v>
      </c>
      <c r="G275" s="8" t="s">
        <v>24</v>
      </c>
      <c r="H275" s="8" t="s">
        <v>23</v>
      </c>
      <c r="I275" s="79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71">
        <f>DATE(YEAR(Tabela1[[#This Row],[Start Date]]),MONTH(Tabela1[[#This Row],[Start Date]]),1)</f>
        <v>45597</v>
      </c>
      <c r="O275" s="72">
        <f>YEAR(Tabela1[[#This Row],[Start Date]])</f>
        <v>2024</v>
      </c>
    </row>
    <row r="276" spans="1:15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79">
        <v>15</v>
      </c>
      <c r="G276" s="8" t="s">
        <v>20</v>
      </c>
      <c r="H276" s="8" t="s">
        <v>19</v>
      </c>
      <c r="I276" s="79">
        <v>30</v>
      </c>
      <c r="J276" s="8" t="s">
        <v>19</v>
      </c>
      <c r="K276" s="11">
        <v>20</v>
      </c>
      <c r="L276" s="11">
        <v>20</v>
      </c>
      <c r="M276" s="11">
        <v>45</v>
      </c>
      <c r="N276" s="71">
        <f>DATE(YEAR(Tabela1[[#This Row],[Start Date]]),MONTH(Tabela1[[#This Row],[Start Date]]),1)</f>
        <v>45597</v>
      </c>
      <c r="O276" s="72">
        <f>YEAR(Tabela1[[#This Row],[Start Date]])</f>
        <v>2024</v>
      </c>
    </row>
    <row r="277" spans="1:15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79">
        <v>10</v>
      </c>
      <c r="G277" s="8" t="s">
        <v>27</v>
      </c>
      <c r="H277" s="8" t="s">
        <v>23</v>
      </c>
      <c r="I277" s="79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71">
        <f>DATE(YEAR(Tabela1[[#This Row],[Start Date]]),MONTH(Tabela1[[#This Row],[Start Date]]),1)</f>
        <v>45597</v>
      </c>
      <c r="O277" s="72">
        <f>YEAR(Tabela1[[#This Row],[Start Date]])</f>
        <v>2024</v>
      </c>
    </row>
    <row r="278" spans="1:15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79">
        <v>5</v>
      </c>
      <c r="G278" s="8" t="s">
        <v>20</v>
      </c>
      <c r="H278" s="8" t="s">
        <v>23</v>
      </c>
      <c r="I278" s="79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71">
        <f>DATE(YEAR(Tabela1[[#This Row],[Start Date]]),MONTH(Tabela1[[#This Row],[Start Date]]),1)</f>
        <v>45597</v>
      </c>
      <c r="O278" s="72">
        <f>YEAR(Tabela1[[#This Row],[Start Date]])</f>
        <v>2024</v>
      </c>
    </row>
    <row r="279" spans="1:15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79">
        <v>15</v>
      </c>
      <c r="G279" s="8" t="s">
        <v>24</v>
      </c>
      <c r="H279" s="8" t="s">
        <v>19</v>
      </c>
      <c r="I279" s="79">
        <v>30</v>
      </c>
      <c r="J279" s="8" t="s">
        <v>19</v>
      </c>
      <c r="K279" s="11">
        <v>20</v>
      </c>
      <c r="L279" s="11">
        <v>3</v>
      </c>
      <c r="M279" s="11">
        <v>62</v>
      </c>
      <c r="N279" s="71">
        <f>DATE(YEAR(Tabela1[[#This Row],[Start Date]]),MONTH(Tabela1[[#This Row],[Start Date]]),1)</f>
        <v>45597</v>
      </c>
      <c r="O279" s="72">
        <f>YEAR(Tabela1[[#This Row],[Start Date]])</f>
        <v>2024</v>
      </c>
    </row>
    <row r="280" spans="1:15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79">
        <v>10</v>
      </c>
      <c r="G280" s="8" t="s">
        <v>20</v>
      </c>
      <c r="H280" s="8" t="s">
        <v>23</v>
      </c>
      <c r="I280" s="79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71">
        <f>DATE(YEAR(Tabela1[[#This Row],[Start Date]]),MONTH(Tabela1[[#This Row],[Start Date]]),1)</f>
        <v>45597</v>
      </c>
      <c r="O280" s="72">
        <f>YEAR(Tabela1[[#This Row],[Start Date]])</f>
        <v>2024</v>
      </c>
    </row>
    <row r="281" spans="1:15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79">
        <v>5</v>
      </c>
      <c r="G281" s="8" t="s">
        <v>27</v>
      </c>
      <c r="H281" s="8" t="s">
        <v>23</v>
      </c>
      <c r="I281" s="79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71">
        <f>DATE(YEAR(Tabela1[[#This Row],[Start Date]]),MONTH(Tabela1[[#This Row],[Start Date]]),1)</f>
        <v>45627</v>
      </c>
      <c r="O281" s="72">
        <f>YEAR(Tabela1[[#This Row],[Start Date]])</f>
        <v>2024</v>
      </c>
    </row>
    <row r="282" spans="1:15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79">
        <v>15</v>
      </c>
      <c r="G282" s="8" t="s">
        <v>20</v>
      </c>
      <c r="H282" s="8" t="s">
        <v>19</v>
      </c>
      <c r="I282" s="79">
        <v>30</v>
      </c>
      <c r="J282" s="8" t="s">
        <v>19</v>
      </c>
      <c r="K282" s="11">
        <v>20</v>
      </c>
      <c r="L282" s="11">
        <v>15</v>
      </c>
      <c r="M282" s="11">
        <v>50</v>
      </c>
      <c r="N282" s="71">
        <f>DATE(YEAR(Tabela1[[#This Row],[Start Date]]),MONTH(Tabela1[[#This Row],[Start Date]]),1)</f>
        <v>45627</v>
      </c>
      <c r="O282" s="72">
        <f>YEAR(Tabela1[[#This Row],[Start Date]])</f>
        <v>2024</v>
      </c>
    </row>
    <row r="283" spans="1:15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79">
        <v>10</v>
      </c>
      <c r="G283" s="8" t="s">
        <v>24</v>
      </c>
      <c r="H283" s="8" t="s">
        <v>23</v>
      </c>
      <c r="I283" s="79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71">
        <f>DATE(YEAR(Tabela1[[#This Row],[Start Date]]),MONTH(Tabela1[[#This Row],[Start Date]]),1)</f>
        <v>45627</v>
      </c>
      <c r="O283" s="72">
        <f>YEAR(Tabela1[[#This Row],[Start Date]])</f>
        <v>2024</v>
      </c>
    </row>
    <row r="284" spans="1:15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79">
        <v>5</v>
      </c>
      <c r="G284" s="8" t="s">
        <v>20</v>
      </c>
      <c r="H284" s="8" t="s">
        <v>23</v>
      </c>
      <c r="I284" s="79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71">
        <f>DATE(YEAR(Tabela1[[#This Row],[Start Date]]),MONTH(Tabela1[[#This Row],[Start Date]]),1)</f>
        <v>45627</v>
      </c>
      <c r="O284" s="72">
        <f>YEAR(Tabela1[[#This Row],[Start Date]])</f>
        <v>2024</v>
      </c>
    </row>
    <row r="285" spans="1:15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79">
        <v>15</v>
      </c>
      <c r="G285" s="8" t="s">
        <v>27</v>
      </c>
      <c r="H285" s="8" t="s">
        <v>19</v>
      </c>
      <c r="I285" s="79">
        <v>30</v>
      </c>
      <c r="J285" s="8" t="s">
        <v>19</v>
      </c>
      <c r="K285" s="11">
        <v>20</v>
      </c>
      <c r="L285" s="11">
        <v>7</v>
      </c>
      <c r="M285" s="11">
        <v>58</v>
      </c>
      <c r="N285" s="71">
        <f>DATE(YEAR(Tabela1[[#This Row],[Start Date]]),MONTH(Tabela1[[#This Row],[Start Date]]),1)</f>
        <v>45627</v>
      </c>
      <c r="O285" s="72">
        <f>YEAR(Tabela1[[#This Row],[Start Date]])</f>
        <v>2024</v>
      </c>
    </row>
    <row r="286" spans="1:15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79">
        <v>10</v>
      </c>
      <c r="G286" s="8" t="s">
        <v>20</v>
      </c>
      <c r="H286" s="8" t="s">
        <v>23</v>
      </c>
      <c r="I286" s="79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71">
        <f>DATE(YEAR(Tabela1[[#This Row],[Start Date]]),MONTH(Tabela1[[#This Row],[Start Date]]),1)</f>
        <v>45627</v>
      </c>
      <c r="O286" s="72">
        <f>YEAR(Tabela1[[#This Row],[Start Date]])</f>
        <v>2024</v>
      </c>
    </row>
    <row r="287" spans="1:15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79">
        <v>5</v>
      </c>
      <c r="G287" s="8" t="s">
        <v>24</v>
      </c>
      <c r="H287" s="8" t="s">
        <v>23</v>
      </c>
      <c r="I287" s="79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71">
        <f>DATE(YEAR(Tabela1[[#This Row],[Start Date]]),MONTH(Tabela1[[#This Row],[Start Date]]),1)</f>
        <v>45627</v>
      </c>
      <c r="O287" s="72">
        <f>YEAR(Tabela1[[#This Row],[Start Date]])</f>
        <v>2024</v>
      </c>
    </row>
    <row r="288" spans="1:15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79">
        <v>15</v>
      </c>
      <c r="G288" s="8" t="s">
        <v>20</v>
      </c>
      <c r="H288" s="8" t="s">
        <v>19</v>
      </c>
      <c r="I288" s="79">
        <v>30</v>
      </c>
      <c r="J288" s="8" t="s">
        <v>19</v>
      </c>
      <c r="K288" s="11">
        <v>20</v>
      </c>
      <c r="L288" s="11">
        <v>20</v>
      </c>
      <c r="M288" s="11">
        <v>45</v>
      </c>
      <c r="N288" s="71">
        <f>DATE(YEAR(Tabela1[[#This Row],[Start Date]]),MONTH(Tabela1[[#This Row],[Start Date]]),1)</f>
        <v>45627</v>
      </c>
      <c r="O288" s="72">
        <f>YEAR(Tabela1[[#This Row],[Start Date]])</f>
        <v>2024</v>
      </c>
    </row>
    <row r="289" spans="1:15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79">
        <v>10</v>
      </c>
      <c r="G289" s="8" t="s">
        <v>27</v>
      </c>
      <c r="H289" s="8" t="s">
        <v>23</v>
      </c>
      <c r="I289" s="79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71">
        <f>DATE(YEAR(Tabela1[[#This Row],[Start Date]]),MONTH(Tabela1[[#This Row],[Start Date]]),1)</f>
        <v>45627</v>
      </c>
      <c r="O289" s="72">
        <f>YEAR(Tabela1[[#This Row],[Start Date]])</f>
        <v>2024</v>
      </c>
    </row>
    <row r="290" spans="1:15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79">
        <v>5</v>
      </c>
      <c r="G290" s="8" t="s">
        <v>20</v>
      </c>
      <c r="H290" s="8" t="s">
        <v>23</v>
      </c>
      <c r="I290" s="79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71">
        <f>DATE(YEAR(Tabela1[[#This Row],[Start Date]]),MONTH(Tabela1[[#This Row],[Start Date]]),1)</f>
        <v>45627</v>
      </c>
      <c r="O290" s="72">
        <f>YEAR(Tabela1[[#This Row],[Start Date]])</f>
        <v>2024</v>
      </c>
    </row>
    <row r="291" spans="1:15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79">
        <v>15</v>
      </c>
      <c r="G291" s="8" t="s">
        <v>24</v>
      </c>
      <c r="H291" s="8" t="s">
        <v>19</v>
      </c>
      <c r="I291" s="79">
        <v>30</v>
      </c>
      <c r="J291" s="8" t="s">
        <v>19</v>
      </c>
      <c r="K291" s="11">
        <v>20</v>
      </c>
      <c r="L291" s="11">
        <v>5</v>
      </c>
      <c r="M291" s="11">
        <v>60</v>
      </c>
      <c r="N291" s="71">
        <f>DATE(YEAR(Tabela1[[#This Row],[Start Date]]),MONTH(Tabela1[[#This Row],[Start Date]]),1)</f>
        <v>45627</v>
      </c>
      <c r="O291" s="72">
        <f>YEAR(Tabela1[[#This Row],[Start Date]])</f>
        <v>2024</v>
      </c>
    </row>
    <row r="292" spans="1:15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79">
        <v>10</v>
      </c>
      <c r="G292" s="8" t="s">
        <v>20</v>
      </c>
      <c r="H292" s="8" t="s">
        <v>23</v>
      </c>
      <c r="I292" s="79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71">
        <f>DATE(YEAR(Tabela1[[#This Row],[Start Date]]),MONTH(Tabela1[[#This Row],[Start Date]]),1)</f>
        <v>45627</v>
      </c>
      <c r="O292" s="72">
        <f>YEAR(Tabela1[[#This Row],[Start Date]])</f>
        <v>2024</v>
      </c>
    </row>
    <row r="293" spans="1:15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79">
        <v>5</v>
      </c>
      <c r="G293" s="8" t="s">
        <v>27</v>
      </c>
      <c r="H293" s="8" t="s">
        <v>23</v>
      </c>
      <c r="I293" s="79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71">
        <f>DATE(YEAR(Tabela1[[#This Row],[Start Date]]),MONTH(Tabela1[[#This Row],[Start Date]]),1)</f>
        <v>45627</v>
      </c>
      <c r="O293" s="72">
        <f>YEAR(Tabela1[[#This Row],[Start Date]])</f>
        <v>2024</v>
      </c>
    </row>
    <row r="294" spans="1:15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79">
        <v>15</v>
      </c>
      <c r="G294" s="8" t="s">
        <v>20</v>
      </c>
      <c r="H294" s="8" t="s">
        <v>19</v>
      </c>
      <c r="I294" s="79">
        <v>30</v>
      </c>
      <c r="J294" s="8" t="s">
        <v>19</v>
      </c>
      <c r="K294" s="11">
        <v>20</v>
      </c>
      <c r="L294" s="11">
        <v>3</v>
      </c>
      <c r="M294" s="11">
        <v>62</v>
      </c>
      <c r="N294" s="71">
        <f>DATE(YEAR(Tabela1[[#This Row],[Start Date]]),MONTH(Tabela1[[#This Row],[Start Date]]),1)</f>
        <v>45627</v>
      </c>
      <c r="O294" s="72">
        <f>YEAR(Tabela1[[#This Row],[Start Date]])</f>
        <v>2024</v>
      </c>
    </row>
    <row r="295" spans="1:15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79">
        <v>10</v>
      </c>
      <c r="G295" s="8" t="s">
        <v>24</v>
      </c>
      <c r="H295" s="8" t="s">
        <v>23</v>
      </c>
      <c r="I295" s="79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71">
        <f>DATE(YEAR(Tabela1[[#This Row],[Start Date]]),MONTH(Tabela1[[#This Row],[Start Date]]),1)</f>
        <v>45627</v>
      </c>
      <c r="O295" s="72">
        <f>YEAR(Tabela1[[#This Row],[Start Date]])</f>
        <v>2024</v>
      </c>
    </row>
    <row r="296" spans="1:15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79">
        <v>5</v>
      </c>
      <c r="G296" s="8" t="s">
        <v>20</v>
      </c>
      <c r="H296" s="8" t="s">
        <v>23</v>
      </c>
      <c r="I296" s="79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71">
        <f>DATE(YEAR(Tabela1[[#This Row],[Start Date]]),MONTH(Tabela1[[#This Row],[Start Date]]),1)</f>
        <v>45627</v>
      </c>
      <c r="O296" s="72">
        <f>YEAR(Tabela1[[#This Row],[Start Date]])</f>
        <v>2024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82"/>
  <sheetViews>
    <sheetView showGridLines="0" topLeftCell="A56" zoomScaleNormal="100" workbookViewId="0">
      <selection activeCell="B75" sqref="B75"/>
    </sheetView>
  </sheetViews>
  <sheetFormatPr defaultRowHeight="15" x14ac:dyDescent="0.25"/>
  <cols>
    <col min="2" max="2" width="32.42578125" customWidth="1"/>
    <col min="3" max="4" width="23.85546875" customWidth="1"/>
    <col min="5" max="6" width="21.85546875" customWidth="1"/>
    <col min="7" max="7" width="15.28515625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2" spans="2:7" ht="24" x14ac:dyDescent="0.25">
      <c r="B2" s="16" t="s">
        <v>313</v>
      </c>
      <c r="C2" s="16"/>
      <c r="D2" s="16"/>
      <c r="E2" s="16"/>
      <c r="F2" s="16"/>
      <c r="G2" s="16"/>
    </row>
    <row r="3" spans="2:7" x14ac:dyDescent="0.25">
      <c r="B3" s="17" t="s">
        <v>314</v>
      </c>
      <c r="C3" s="17"/>
      <c r="D3" s="17"/>
      <c r="E3" s="17"/>
      <c r="F3" s="17"/>
      <c r="G3" s="17"/>
    </row>
    <row r="4" spans="2:7" x14ac:dyDescent="0.25">
      <c r="B4" s="15"/>
      <c r="C4" s="15"/>
      <c r="D4" s="15"/>
      <c r="E4" s="15"/>
      <c r="F4" s="15"/>
      <c r="G4" s="15"/>
    </row>
    <row r="5" spans="2:7" ht="15.75" x14ac:dyDescent="0.25">
      <c r="B5" s="18" t="s">
        <v>315</v>
      </c>
      <c r="C5" s="18"/>
      <c r="D5" s="18"/>
      <c r="E5" s="18"/>
      <c r="F5" s="18"/>
      <c r="G5" s="18"/>
    </row>
    <row r="6" spans="2:7" x14ac:dyDescent="0.25">
      <c r="B6" s="19" t="s">
        <v>316</v>
      </c>
      <c r="C6" s="19"/>
      <c r="D6" s="19"/>
      <c r="E6" s="19"/>
      <c r="F6" s="19"/>
      <c r="G6" s="19"/>
    </row>
    <row r="7" spans="2:7" ht="26.25" x14ac:dyDescent="0.25">
      <c r="B7" s="30" t="s">
        <v>317</v>
      </c>
      <c r="C7" s="35">
        <f>SUMIFS(Tabela1[Total Value],Tabela1[Subscription Type],"Annual")</f>
        <v>1754</v>
      </c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x14ac:dyDescent="0.25">
      <c r="B9" s="15"/>
      <c r="C9" s="15"/>
      <c r="D9" s="15"/>
      <c r="E9" s="15"/>
      <c r="F9" s="15"/>
      <c r="G9" s="15"/>
    </row>
    <row r="10" spans="2:7" ht="15.75" x14ac:dyDescent="0.25">
      <c r="B10" s="18" t="s">
        <v>318</v>
      </c>
      <c r="C10" s="18"/>
      <c r="D10" s="18"/>
      <c r="E10" s="18"/>
      <c r="F10" s="18"/>
      <c r="G10" s="18"/>
    </row>
    <row r="11" spans="2:7" x14ac:dyDescent="0.25">
      <c r="B11" s="20" t="s">
        <v>319</v>
      </c>
      <c r="C11" s="20"/>
      <c r="D11" s="20"/>
      <c r="E11" s="20"/>
      <c r="F11" s="20"/>
      <c r="G11" s="20"/>
    </row>
    <row r="12" spans="2:7" x14ac:dyDescent="0.25">
      <c r="B12" s="21" t="s">
        <v>320</v>
      </c>
      <c r="C12" s="21" t="s">
        <v>317</v>
      </c>
      <c r="D12" s="15"/>
      <c r="E12" s="15"/>
      <c r="F12" s="15"/>
      <c r="G12" s="15"/>
    </row>
    <row r="13" spans="2:7" x14ac:dyDescent="0.25">
      <c r="B13" s="22" t="s">
        <v>19</v>
      </c>
      <c r="C13" s="23">
        <f>SUMIFS(Tabela1[Total Value],Tabela1[Subscription Type],"Annual",Tabela1[Auto Renewal],B13)</f>
        <v>1537</v>
      </c>
      <c r="D13" s="15"/>
      <c r="E13" s="15"/>
      <c r="F13" s="15"/>
      <c r="G13" s="15"/>
    </row>
    <row r="14" spans="2:7" x14ac:dyDescent="0.25">
      <c r="B14" s="22" t="s">
        <v>23</v>
      </c>
      <c r="C14" s="23">
        <f>SUMIFS(Tabela1[Total Value],Tabela1[Subscription Type],"Annual",Tabela1[Auto Renewal],B14)</f>
        <v>217</v>
      </c>
      <c r="D14" s="15"/>
      <c r="E14" s="15"/>
      <c r="F14" s="15"/>
      <c r="G14" s="15"/>
    </row>
    <row r="15" spans="2:7" x14ac:dyDescent="0.25">
      <c r="B15" s="26" t="s">
        <v>321</v>
      </c>
      <c r="C15" s="28">
        <f>SUM(C13:C14)</f>
        <v>1754</v>
      </c>
      <c r="D15" s="27"/>
      <c r="E15" s="27"/>
      <c r="F15" s="27"/>
      <c r="G15" s="15"/>
    </row>
    <row r="16" spans="2:7" x14ac:dyDescent="0.25">
      <c r="B16" s="15"/>
      <c r="C16" s="15"/>
      <c r="D16" s="15"/>
      <c r="E16" s="15"/>
      <c r="F16" s="15"/>
      <c r="G16" s="15"/>
    </row>
    <row r="17" spans="2:7" x14ac:dyDescent="0.25">
      <c r="B17" s="15"/>
      <c r="C17" s="15"/>
      <c r="D17" s="15"/>
      <c r="E17" s="15"/>
      <c r="F17" s="15"/>
      <c r="G17" s="15"/>
    </row>
    <row r="18" spans="2:7" ht="15.75" x14ac:dyDescent="0.25">
      <c r="B18" s="18" t="s">
        <v>322</v>
      </c>
      <c r="C18" s="18"/>
      <c r="D18" s="18"/>
      <c r="E18" s="18"/>
      <c r="F18" s="18"/>
      <c r="G18" s="18"/>
    </row>
    <row r="19" spans="2:7" x14ac:dyDescent="0.25">
      <c r="B19" s="20" t="s">
        <v>323</v>
      </c>
      <c r="C19" s="20"/>
      <c r="D19" s="20"/>
      <c r="E19" s="20"/>
      <c r="F19" s="20"/>
      <c r="G19" s="20"/>
    </row>
    <row r="20" spans="2:7" x14ac:dyDescent="0.25">
      <c r="B20" s="21" t="s">
        <v>324</v>
      </c>
      <c r="C20" s="21" t="s">
        <v>325</v>
      </c>
      <c r="D20" s="15"/>
      <c r="E20" s="15"/>
      <c r="F20" s="15"/>
      <c r="G20" s="15"/>
    </row>
    <row r="21" spans="2:7" x14ac:dyDescent="0.25">
      <c r="B21" s="22" t="s">
        <v>326</v>
      </c>
      <c r="C21" s="31">
        <f>COUNTIF(Tabela1[EA Play Season Pass],"Yes")</f>
        <v>98</v>
      </c>
      <c r="D21" s="15"/>
      <c r="E21" s="15"/>
      <c r="F21" s="15"/>
      <c r="G21" s="15"/>
    </row>
    <row r="22" spans="2:7" x14ac:dyDescent="0.25">
      <c r="B22" s="22" t="s">
        <v>327</v>
      </c>
      <c r="C22" s="23">
        <f>SUMIFS(B̳ases!I2:I296,B̳ases!H2:H296,"Yes")</f>
        <v>2940</v>
      </c>
      <c r="D22" s="15"/>
      <c r="E22" s="15"/>
      <c r="F22" s="15"/>
      <c r="G22" s="15"/>
    </row>
    <row r="23" spans="2:7" x14ac:dyDescent="0.25">
      <c r="B23" s="15"/>
      <c r="C23" s="15"/>
      <c r="D23" s="15"/>
      <c r="E23" s="15"/>
      <c r="F23" s="15"/>
      <c r="G23" s="15"/>
    </row>
    <row r="24" spans="2:7" x14ac:dyDescent="0.25">
      <c r="B24" s="15"/>
      <c r="C24" s="15"/>
      <c r="D24" s="15"/>
      <c r="E24" s="15"/>
      <c r="F24" s="15"/>
      <c r="G24" s="15"/>
    </row>
    <row r="25" spans="2:7" ht="15.75" x14ac:dyDescent="0.25">
      <c r="B25" s="18" t="s">
        <v>328</v>
      </c>
      <c r="C25" s="18"/>
      <c r="D25" s="18"/>
      <c r="E25" s="18"/>
      <c r="F25" s="18"/>
      <c r="G25" s="18"/>
    </row>
    <row r="26" spans="2:7" x14ac:dyDescent="0.25">
      <c r="B26" s="20" t="s">
        <v>329</v>
      </c>
      <c r="C26" s="20"/>
      <c r="D26" s="20"/>
      <c r="E26" s="20"/>
      <c r="F26" s="20"/>
      <c r="G26" s="20"/>
    </row>
    <row r="27" spans="2:7" x14ac:dyDescent="0.25">
      <c r="B27" s="21" t="s">
        <v>324</v>
      </c>
      <c r="C27" s="21" t="s">
        <v>325</v>
      </c>
      <c r="D27" s="15"/>
      <c r="E27" s="15"/>
      <c r="F27" s="15"/>
      <c r="G27" s="15"/>
    </row>
    <row r="28" spans="2:7" x14ac:dyDescent="0.25">
      <c r="B28" s="22" t="s">
        <v>326</v>
      </c>
      <c r="C28" s="31">
        <f>COUNTIF(Tabela1[Minecraft Season Pass],"Yes")</f>
        <v>194</v>
      </c>
      <c r="D28" s="15"/>
      <c r="E28" s="15"/>
      <c r="F28" s="15"/>
      <c r="G28" s="15"/>
    </row>
    <row r="29" spans="2:7" x14ac:dyDescent="0.25">
      <c r="B29" s="22" t="s">
        <v>327</v>
      </c>
      <c r="C29" s="23">
        <f>SUMIFS(Tabela1[Minecraft Season Pass Price],Tabela1[Minecraft Season Pass],"Yes")</f>
        <v>3880</v>
      </c>
      <c r="D29" s="15"/>
      <c r="E29" s="15"/>
      <c r="F29" s="15"/>
      <c r="G29" s="15"/>
    </row>
    <row r="30" spans="2:7" x14ac:dyDescent="0.25">
      <c r="B30" s="15"/>
      <c r="C30" s="15"/>
      <c r="D30" s="15"/>
      <c r="E30" s="15"/>
      <c r="F30" s="15"/>
      <c r="G30" s="15"/>
    </row>
    <row r="31" spans="2:7" x14ac:dyDescent="0.25">
      <c r="B31" s="15"/>
      <c r="C31" s="15"/>
      <c r="D31" s="15"/>
      <c r="E31" s="15"/>
      <c r="F31" s="15"/>
      <c r="G31" s="15"/>
    </row>
    <row r="32" spans="2:7" ht="15.75" x14ac:dyDescent="0.25">
      <c r="B32" s="18" t="s">
        <v>330</v>
      </c>
      <c r="C32" s="18"/>
      <c r="D32" s="18"/>
      <c r="E32" s="18"/>
      <c r="F32" s="18"/>
      <c r="G32" s="18"/>
    </row>
    <row r="33" spans="2:7" x14ac:dyDescent="0.25">
      <c r="B33" s="20" t="s">
        <v>331</v>
      </c>
      <c r="C33" s="20"/>
      <c r="D33" s="20"/>
      <c r="E33" s="20"/>
      <c r="F33" s="20"/>
      <c r="G33" s="20"/>
    </row>
    <row r="34" spans="2:7" x14ac:dyDescent="0.25">
      <c r="B34" s="21" t="s">
        <v>332</v>
      </c>
      <c r="C34" s="21" t="s">
        <v>333</v>
      </c>
      <c r="D34" s="21" t="s">
        <v>334</v>
      </c>
      <c r="E34" s="21" t="s">
        <v>335</v>
      </c>
      <c r="F34" s="15"/>
      <c r="G34" s="15"/>
    </row>
    <row r="35" spans="2:7" x14ac:dyDescent="0.25">
      <c r="B35" s="22" t="s">
        <v>22</v>
      </c>
      <c r="C35" s="31">
        <f>COUNTIF(Tabela1[Plan],B35)</f>
        <v>101</v>
      </c>
      <c r="D35" s="23">
        <f>SUMIF(Tabela1[Plan],B35,Tabela1[Total Value])</f>
        <v>444</v>
      </c>
      <c r="E35" s="23">
        <f>D35/C35</f>
        <v>4.3960396039603964</v>
      </c>
      <c r="F35" s="15"/>
      <c r="G35" s="15"/>
    </row>
    <row r="36" spans="2:7" x14ac:dyDescent="0.25">
      <c r="B36" s="22" t="s">
        <v>26</v>
      </c>
      <c r="C36" s="31">
        <f>COUNTIF(Tabela1[Plan],B36)</f>
        <v>96</v>
      </c>
      <c r="D36" s="23">
        <f>SUMIF(Tabela1[Plan],B36,Tabela1[Total Value])</f>
        <v>1801</v>
      </c>
      <c r="E36" s="23">
        <f t="shared" ref="E36:E37" si="0">D36/C36</f>
        <v>18.760416666666668</v>
      </c>
      <c r="F36" s="15"/>
      <c r="G36" s="15"/>
    </row>
    <row r="37" spans="2:7" x14ac:dyDescent="0.25">
      <c r="B37" s="22" t="s">
        <v>18</v>
      </c>
      <c r="C37" s="31">
        <f>COUNTIF(Tabela1[Plan],B37)</f>
        <v>98</v>
      </c>
      <c r="D37" s="23">
        <f>SUMIF(Tabela1[Plan],B37,Tabela1[Total Value])</f>
        <v>5388</v>
      </c>
      <c r="E37" s="23">
        <f t="shared" si="0"/>
        <v>54.979591836734691</v>
      </c>
      <c r="F37" s="15"/>
      <c r="G37" s="15"/>
    </row>
    <row r="38" spans="2:7" x14ac:dyDescent="0.25">
      <c r="B38" s="26" t="s">
        <v>321</v>
      </c>
      <c r="C38" s="32">
        <f>SUM(C35:C37)</f>
        <v>295</v>
      </c>
      <c r="D38" s="28">
        <f>SUM(D35:D37)</f>
        <v>7633</v>
      </c>
      <c r="E38" s="28">
        <f>D38/C38</f>
        <v>25.874576271186442</v>
      </c>
      <c r="F38" s="27"/>
      <c r="G38" s="15"/>
    </row>
    <row r="39" spans="2:7" x14ac:dyDescent="0.25">
      <c r="B39" s="15"/>
      <c r="C39" s="15"/>
      <c r="D39" s="15"/>
      <c r="E39" s="15"/>
      <c r="F39" s="15"/>
      <c r="G39" s="15"/>
    </row>
    <row r="40" spans="2:7" x14ac:dyDescent="0.25">
      <c r="B40" s="15"/>
      <c r="C40" s="15"/>
      <c r="D40" s="15"/>
      <c r="E40" s="15"/>
      <c r="F40" s="15"/>
      <c r="G40" s="15"/>
    </row>
    <row r="41" spans="2:7" ht="15.75" x14ac:dyDescent="0.25">
      <c r="B41" s="18" t="s">
        <v>336</v>
      </c>
      <c r="C41" s="18"/>
      <c r="D41" s="18"/>
      <c r="E41" s="18"/>
      <c r="F41" s="18"/>
      <c r="G41" s="18"/>
    </row>
    <row r="42" spans="2:7" x14ac:dyDescent="0.25">
      <c r="B42" s="20" t="s">
        <v>337</v>
      </c>
      <c r="C42" s="20"/>
      <c r="D42" s="20"/>
      <c r="E42" s="20"/>
      <c r="F42" s="20"/>
      <c r="G42" s="20"/>
    </row>
    <row r="43" spans="2:7" x14ac:dyDescent="0.25">
      <c r="B43" s="21" t="s">
        <v>338</v>
      </c>
      <c r="C43" s="21" t="s">
        <v>339</v>
      </c>
      <c r="D43" s="21" t="s">
        <v>334</v>
      </c>
      <c r="E43" s="15"/>
      <c r="F43" s="15"/>
      <c r="G43" s="15"/>
    </row>
    <row r="44" spans="2:7" x14ac:dyDescent="0.25">
      <c r="B44" s="24">
        <f>DATE(2024,1,1)</f>
        <v>45292</v>
      </c>
      <c r="C44" s="31">
        <f>COUNTIFS(Tabela1[Start Date],"&gt;="&amp;B44,Tabela1[Start Date],"&lt;"&amp;EDATE(B44,1))</f>
        <v>2</v>
      </c>
      <c r="D44" s="23">
        <f>SUMIFS(Tabela1[Total Value],Tabela1[Start Date],"&gt;="&amp;B44,Tabela1[Start Date],"&lt;"&amp;EDATE(B44,1))</f>
        <v>65</v>
      </c>
      <c r="E44" s="15"/>
      <c r="F44" s="15"/>
      <c r="G44" s="15"/>
    </row>
    <row r="45" spans="2:7" x14ac:dyDescent="0.25">
      <c r="B45" s="24">
        <f>EDATE(B44,1)</f>
        <v>45323</v>
      </c>
      <c r="C45" s="31">
        <f>COUNTIFS(Tabela1[Start Date],"&gt;="&amp;B45,Tabela1[Start Date],"&lt;"&amp;EDATE(B45,1))</f>
        <v>2</v>
      </c>
      <c r="D45" s="23">
        <f>SUMIFS(Tabela1[Total Value],Tabela1[Start Date],"&gt;="&amp;B45,Tabela1[Start Date],"&lt;"&amp;EDATE(B45,1))</f>
        <v>82</v>
      </c>
      <c r="E45" s="15"/>
      <c r="F45" s="15"/>
      <c r="G45" s="15"/>
    </row>
    <row r="46" spans="2:7" x14ac:dyDescent="0.25">
      <c r="B46" s="24">
        <f t="shared" ref="B46:B55" si="1">EDATE(B45,1)</f>
        <v>45352</v>
      </c>
      <c r="C46" s="31">
        <f>COUNTIFS(Tabela1[Start Date],"&gt;="&amp;B46,Tabela1[Start Date],"&lt;"&amp;EDATE(B46,1))</f>
        <v>31</v>
      </c>
      <c r="D46" s="23">
        <f>SUMIFS(Tabela1[Total Value],Tabela1[Start Date],"&gt;="&amp;B46,Tabela1[Start Date],"&lt;"&amp;EDATE(B46,1))</f>
        <v>801</v>
      </c>
      <c r="E46" s="15"/>
      <c r="F46" s="15"/>
      <c r="G46" s="15"/>
    </row>
    <row r="47" spans="2:7" x14ac:dyDescent="0.25">
      <c r="B47" s="24">
        <f t="shared" si="1"/>
        <v>45383</v>
      </c>
      <c r="C47" s="31">
        <f>COUNTIFS(Tabela1[Start Date],"&gt;="&amp;B47,Tabela1[Start Date],"&lt;"&amp;EDATE(B47,1))</f>
        <v>30</v>
      </c>
      <c r="D47" s="23">
        <f>SUMIFS(Tabela1[Total Value],Tabela1[Start Date],"&gt;="&amp;B47,Tabela1[Start Date],"&lt;"&amp;EDATE(B47,1))</f>
        <v>782</v>
      </c>
      <c r="E47" s="15"/>
      <c r="F47" s="15"/>
      <c r="G47" s="15"/>
    </row>
    <row r="48" spans="2:7" x14ac:dyDescent="0.25">
      <c r="B48" s="24">
        <f t="shared" si="1"/>
        <v>45413</v>
      </c>
      <c r="C48" s="31">
        <f>COUNTIFS(Tabela1[Start Date],"&gt;="&amp;B48,Tabela1[Start Date],"&lt;"&amp;EDATE(B48,1))</f>
        <v>31</v>
      </c>
      <c r="D48" s="23">
        <f>SUMIFS(Tabela1[Total Value],Tabela1[Start Date],"&gt;="&amp;B48,Tabela1[Start Date],"&lt;"&amp;EDATE(B48,1))</f>
        <v>777</v>
      </c>
      <c r="E48" s="15"/>
      <c r="F48" s="15"/>
      <c r="G48" s="15"/>
    </row>
    <row r="49" spans="2:7" x14ac:dyDescent="0.25">
      <c r="B49" s="24">
        <f t="shared" si="1"/>
        <v>45444</v>
      </c>
      <c r="C49" s="31">
        <f>COUNTIFS(Tabela1[Start Date],"&gt;="&amp;B49,Tabela1[Start Date],"&lt;"&amp;EDATE(B49,1))</f>
        <v>30</v>
      </c>
      <c r="D49" s="23">
        <f>SUMIFS(Tabela1[Total Value],Tabela1[Start Date],"&gt;="&amp;B49,Tabela1[Start Date],"&lt;"&amp;EDATE(B49,1))</f>
        <v>770</v>
      </c>
      <c r="E49" s="15"/>
      <c r="F49" s="15"/>
      <c r="G49" s="15"/>
    </row>
    <row r="50" spans="2:7" x14ac:dyDescent="0.25">
      <c r="B50" s="24">
        <f t="shared" si="1"/>
        <v>45474</v>
      </c>
      <c r="C50" s="31">
        <f>COUNTIFS(Tabela1[Start Date],"&gt;="&amp;B50,Tabela1[Start Date],"&lt;"&amp;EDATE(B50,1))</f>
        <v>31</v>
      </c>
      <c r="D50" s="23">
        <f>SUMIFS(Tabela1[Total Value],Tabela1[Start Date],"&gt;="&amp;B50,Tabela1[Start Date],"&lt;"&amp;EDATE(B50,1))</f>
        <v>784</v>
      </c>
      <c r="E50" s="15"/>
      <c r="F50" s="15"/>
      <c r="G50" s="15"/>
    </row>
    <row r="51" spans="2:7" x14ac:dyDescent="0.25">
      <c r="B51" s="24">
        <f t="shared" si="1"/>
        <v>45505</v>
      </c>
      <c r="C51" s="31">
        <f>COUNTIFS(Tabela1[Start Date],"&gt;="&amp;B51,Tabela1[Start Date],"&lt;"&amp;EDATE(B51,1))</f>
        <v>31</v>
      </c>
      <c r="D51" s="23">
        <f>SUMIFS(Tabela1[Total Value],Tabela1[Start Date],"&gt;="&amp;B51,Tabela1[Start Date],"&lt;"&amp;EDATE(B51,1))</f>
        <v>787</v>
      </c>
      <c r="E51" s="15"/>
      <c r="F51" s="15"/>
      <c r="G51" s="15"/>
    </row>
    <row r="52" spans="2:7" x14ac:dyDescent="0.25">
      <c r="B52" s="24">
        <f t="shared" si="1"/>
        <v>45536</v>
      </c>
      <c r="C52" s="31">
        <f>COUNTIFS(Tabela1[Start Date],"&gt;="&amp;B52,Tabela1[Start Date],"&lt;"&amp;EDATE(B52,1))</f>
        <v>30</v>
      </c>
      <c r="D52" s="23">
        <f>SUMIFS(Tabela1[Total Value],Tabela1[Start Date],"&gt;="&amp;B52,Tabela1[Start Date],"&lt;"&amp;EDATE(B52,1))</f>
        <v>780</v>
      </c>
      <c r="E52" s="15"/>
      <c r="F52" s="15"/>
      <c r="G52" s="15"/>
    </row>
    <row r="53" spans="2:7" x14ac:dyDescent="0.25">
      <c r="B53" s="24">
        <f t="shared" si="1"/>
        <v>45566</v>
      </c>
      <c r="C53" s="31">
        <f>COUNTIFS(Tabela1[Start Date],"&gt;="&amp;B53,Tabela1[Start Date],"&lt;"&amp;EDATE(B53,1))</f>
        <v>31</v>
      </c>
      <c r="D53" s="23">
        <f>SUMIFS(Tabela1[Total Value],Tabela1[Start Date],"&gt;="&amp;B53,Tabela1[Start Date],"&lt;"&amp;EDATE(B53,1))</f>
        <v>832</v>
      </c>
      <c r="E53" s="15"/>
      <c r="F53" s="15"/>
      <c r="G53" s="15"/>
    </row>
    <row r="54" spans="2:7" x14ac:dyDescent="0.25">
      <c r="B54" s="24">
        <f t="shared" si="1"/>
        <v>45597</v>
      </c>
      <c r="C54" s="31">
        <f>COUNTIFS(Tabela1[Start Date],"&gt;="&amp;B54,Tabela1[Start Date],"&lt;"&amp;EDATE(B54,1))</f>
        <v>30</v>
      </c>
      <c r="D54" s="23">
        <f>SUMIFS(Tabela1[Total Value],Tabela1[Start Date],"&gt;="&amp;B54,Tabela1[Start Date],"&lt;"&amp;EDATE(B54,1))</f>
        <v>784</v>
      </c>
      <c r="E54" s="15"/>
      <c r="F54" s="15"/>
      <c r="G54" s="15"/>
    </row>
    <row r="55" spans="2:7" x14ac:dyDescent="0.25">
      <c r="B55" s="24">
        <f t="shared" si="1"/>
        <v>45627</v>
      </c>
      <c r="C55" s="31">
        <f>COUNTIFS(Tabela1[Start Date],"&gt;="&amp;B55,Tabela1[Start Date],"&lt;"&amp;EDATE(B55,1))</f>
        <v>16</v>
      </c>
      <c r="D55" s="23">
        <f>SUMIFS(Tabela1[Total Value],Tabela1[Start Date],"&gt;="&amp;B55,Tabela1[Start Date],"&lt;"&amp;EDATE(B55,1))</f>
        <v>389</v>
      </c>
      <c r="E55" s="15"/>
      <c r="F55" s="15"/>
      <c r="G55" s="15"/>
    </row>
    <row r="56" spans="2:7" x14ac:dyDescent="0.25">
      <c r="B56" s="26" t="s">
        <v>321</v>
      </c>
      <c r="C56" s="32">
        <f>SUM(C44:C55)</f>
        <v>295</v>
      </c>
      <c r="D56" s="28">
        <f>SUM(D44:D55)</f>
        <v>7633</v>
      </c>
      <c r="E56" s="27"/>
      <c r="F56" s="27"/>
      <c r="G56" s="15"/>
    </row>
    <row r="57" spans="2:7" x14ac:dyDescent="0.25">
      <c r="B57" s="15"/>
      <c r="C57" s="15"/>
      <c r="D57" s="15"/>
      <c r="E57" s="15"/>
      <c r="F57" s="15"/>
      <c r="G57" s="15"/>
    </row>
    <row r="58" spans="2:7" x14ac:dyDescent="0.25">
      <c r="B58" s="15"/>
      <c r="C58" s="15"/>
      <c r="D58" s="15"/>
      <c r="E58" s="15"/>
      <c r="F58" s="15"/>
      <c r="G58" s="15"/>
    </row>
    <row r="59" spans="2:7" ht="15.75" x14ac:dyDescent="0.25">
      <c r="B59" s="18" t="s">
        <v>340</v>
      </c>
      <c r="C59" s="18"/>
      <c r="D59" s="18"/>
      <c r="E59" s="18"/>
      <c r="F59" s="18"/>
      <c r="G59" s="18"/>
    </row>
    <row r="60" spans="2:7" x14ac:dyDescent="0.25">
      <c r="B60" s="20" t="s">
        <v>341</v>
      </c>
      <c r="C60" s="20"/>
      <c r="D60" s="20"/>
      <c r="E60" s="20"/>
      <c r="F60" s="20"/>
      <c r="G60" s="20"/>
    </row>
    <row r="61" spans="2:7" x14ac:dyDescent="0.25">
      <c r="B61" s="21" t="s">
        <v>332</v>
      </c>
      <c r="C61" s="21" t="s">
        <v>342</v>
      </c>
      <c r="D61" s="21" t="s">
        <v>343</v>
      </c>
      <c r="E61" s="21" t="s">
        <v>344</v>
      </c>
      <c r="F61" s="21" t="s">
        <v>345</v>
      </c>
      <c r="G61" s="15"/>
    </row>
    <row r="62" spans="2:7" x14ac:dyDescent="0.25">
      <c r="B62" s="22" t="s">
        <v>22</v>
      </c>
      <c r="C62" s="23">
        <f>SUMIF(Tabela1[Plan],B62,Tabela1[Coupon Value])</f>
        <v>61</v>
      </c>
      <c r="D62" s="23">
        <f>SUMIF(Tabela1[Plan],B62,Tabela1[Total Value])</f>
        <v>444</v>
      </c>
      <c r="E62" s="23">
        <f>C62+D62</f>
        <v>505</v>
      </c>
      <c r="F62" s="25">
        <f>C62/E62</f>
        <v>0.12079207920792079</v>
      </c>
      <c r="G62" s="15"/>
    </row>
    <row r="63" spans="2:7" x14ac:dyDescent="0.25">
      <c r="B63" s="22" t="s">
        <v>26</v>
      </c>
      <c r="C63" s="23">
        <f>SUMIF(Tabela1[Plan],B63,Tabela1[Coupon Value])</f>
        <v>1079</v>
      </c>
      <c r="D63" s="23">
        <f>SUMIF(Tabela1[Plan],B63,Tabela1[Total Value])</f>
        <v>1801</v>
      </c>
      <c r="E63" s="23">
        <f t="shared" ref="E63:E64" si="2">C63+D63</f>
        <v>2880</v>
      </c>
      <c r="F63" s="25">
        <f t="shared" ref="F63:F64" si="3">C63/E63</f>
        <v>0.37465277777777778</v>
      </c>
      <c r="G63" s="15"/>
    </row>
    <row r="64" spans="2:7" x14ac:dyDescent="0.25">
      <c r="B64" s="22" t="s">
        <v>18</v>
      </c>
      <c r="C64" s="23">
        <f>SUMIF(Tabela1[Plan],B64,Tabela1[Coupon Value])</f>
        <v>982</v>
      </c>
      <c r="D64" s="23">
        <f>SUMIF(Tabela1[Plan],B64,Tabela1[Total Value])</f>
        <v>5388</v>
      </c>
      <c r="E64" s="23">
        <f t="shared" si="2"/>
        <v>6370</v>
      </c>
      <c r="F64" s="25">
        <f t="shared" si="3"/>
        <v>0.15416012558869702</v>
      </c>
      <c r="G64" s="15"/>
    </row>
    <row r="65" spans="2:7" x14ac:dyDescent="0.25">
      <c r="B65" s="26" t="s">
        <v>321</v>
      </c>
      <c r="C65" s="28">
        <f>SUM(C62:C64)</f>
        <v>2122</v>
      </c>
      <c r="D65" s="28">
        <f>SUM(D62:D64)</f>
        <v>7633</v>
      </c>
      <c r="E65" s="28">
        <f>SUM(E62:E64)</f>
        <v>9755</v>
      </c>
      <c r="F65" s="29">
        <f>C65/E65</f>
        <v>0.21752947206560738</v>
      </c>
      <c r="G65" s="15"/>
    </row>
    <row r="66" spans="2:7" x14ac:dyDescent="0.25">
      <c r="B66" s="15"/>
      <c r="C66" s="15"/>
      <c r="D66" s="15"/>
      <c r="E66" s="15"/>
      <c r="F66" s="15"/>
      <c r="G66" s="15"/>
    </row>
    <row r="67" spans="2:7" x14ac:dyDescent="0.25">
      <c r="B67" s="15"/>
      <c r="C67" s="15"/>
      <c r="D67" s="15"/>
      <c r="E67" s="15"/>
      <c r="F67" s="15"/>
      <c r="G67" s="15"/>
    </row>
    <row r="68" spans="2:7" ht="15.75" x14ac:dyDescent="0.25">
      <c r="B68" s="33" t="s">
        <v>346</v>
      </c>
      <c r="C68" s="33"/>
      <c r="D68" s="33"/>
      <c r="E68" s="33"/>
      <c r="F68" s="33"/>
      <c r="G68" s="33"/>
    </row>
    <row r="69" spans="2:7" x14ac:dyDescent="0.25">
      <c r="B69" s="34" t="str">
        <f>"1. O plano Ultimate gera "&amp;TEXT(D37/D38,"0,0%")&amp;" do faturamento total e possui ticket médio de R$ "&amp;TEXT(E37,"#.##0,00")&amp;"."</f>
        <v>1. O plano Ultimate gera 70,6% do faturamento total e possui ticket médio de R$ 54,98.</v>
      </c>
      <c r="C69" s="34"/>
      <c r="D69" s="34"/>
      <c r="E69" s="34"/>
      <c r="F69" s="34"/>
      <c r="G69" s="34"/>
    </row>
    <row r="70" spans="2:7" x14ac:dyDescent="0.25">
      <c r="B70" s="34" t="str">
        <f>"2. O pico mensal foi R$ "&amp;TEXT(MAX(D44:D55),"#.##0,00")&amp;" em "&amp;TEXT(INDEX(B44:B55,MATCH(MAX(D44:D55),D44:D55,0)),"mmm/aaaa")&amp;"."</f>
        <v>2. O pico mensal foi R$ 832,00 em out/2024.</v>
      </c>
      <c r="C70" s="34"/>
      <c r="D70" s="34"/>
      <c r="E70" s="34"/>
      <c r="F70" s="34"/>
      <c r="G70" s="34"/>
    </row>
    <row r="71" spans="2:7" x14ac:dyDescent="0.25">
      <c r="B71" s="34" t="str">
        <f>"3. Os cupons totalizam R$ "&amp;TEXT(C65,"#.##0,00")&amp;", equivalentes a "&amp;TEXT(F65,"0,0%")&amp;" do valor bruto."</f>
        <v>3. Os cupons totalizam R$ 2.122,00, equivalentes a 21,8% do valor bruto.</v>
      </c>
      <c r="C71" s="34"/>
      <c r="D71" s="34"/>
      <c r="E71" s="34"/>
      <c r="F71" s="34"/>
      <c r="G71" s="34"/>
    </row>
    <row r="76" spans="2:7" x14ac:dyDescent="0.25">
      <c r="B76" t="s">
        <v>382</v>
      </c>
      <c r="C76" t="str">
        <f>IF('Dashboard Engine'!G2="","Sem comparação",TEXT('Dashboard Engine'!G2,"+0,0%;-0,0%;0,0%")&amp;" vs período anterior")</f>
        <v>Sem comparação</v>
      </c>
    </row>
    <row r="78" spans="2:7" x14ac:dyDescent="0.25">
      <c r="B78" t="s">
        <v>349</v>
      </c>
      <c r="C78" t="str">
        <f>IF('Dashboard Engine'!G3="","Sem comparação",TEXT('Dashboard Engine'!G3,"+0,0%;-0,0%;0,0%")&amp;" vs período anterior")</f>
        <v>Sem comparação</v>
      </c>
    </row>
    <row r="80" spans="2:7" x14ac:dyDescent="0.25">
      <c r="B80" t="s">
        <v>350</v>
      </c>
      <c r="C80" t="str">
        <f>IF('Dashboard Engine'!G4="","Sem comparação",TEXT('Dashboard Engine'!G4,"+0,0%;-0,0%;0,0%")&amp;" vs período anterior")</f>
        <v>Sem comparação</v>
      </c>
    </row>
    <row r="82" spans="2:3" x14ac:dyDescent="0.25">
      <c r="B82" t="s">
        <v>351</v>
      </c>
      <c r="C82" t="str">
        <f>IF('Dashboard Engine'!G5="","Sem comparação",TEXT('Dashboard Engine'!G5,"+0,0%;-0,0%;0,0%")&amp;" vs período anterior")</f>
        <v>Sem comparação</v>
      </c>
    </row>
  </sheetData>
  <mergeCells count="20">
    <mergeCell ref="B70:G70"/>
    <mergeCell ref="B71:G71"/>
    <mergeCell ref="B41:G41"/>
    <mergeCell ref="B42:G42"/>
    <mergeCell ref="B59:G59"/>
    <mergeCell ref="B60:G60"/>
    <mergeCell ref="B68:G68"/>
    <mergeCell ref="B69:G69"/>
    <mergeCell ref="B18:G18"/>
    <mergeCell ref="B19:G19"/>
    <mergeCell ref="B25:G25"/>
    <mergeCell ref="B26:G26"/>
    <mergeCell ref="B32:G32"/>
    <mergeCell ref="B33:G33"/>
    <mergeCell ref="B2:G2"/>
    <mergeCell ref="B3:G3"/>
    <mergeCell ref="B5:G5"/>
    <mergeCell ref="B6:G6"/>
    <mergeCell ref="B10:G10"/>
    <mergeCell ref="B11:G1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91"/>
  <sheetViews>
    <sheetView showGridLines="0" tabSelected="1" zoomScale="80" zoomScaleNormal="80" workbookViewId="0">
      <selection activeCell="AA1" sqref="AA1:XFD1048576"/>
    </sheetView>
  </sheetViews>
  <sheetFormatPr defaultColWidth="0" defaultRowHeight="15" zeroHeight="1" x14ac:dyDescent="0.25"/>
  <cols>
    <col min="1" max="1" width="13.7109375" style="39" customWidth="1"/>
    <col min="2" max="3" width="10" style="39" customWidth="1"/>
    <col min="4" max="5" width="2.7109375" style="39" customWidth="1"/>
    <col min="6" max="6" width="4.42578125" style="39" customWidth="1"/>
    <col min="7" max="15" width="8" style="39" customWidth="1"/>
    <col min="16" max="16" width="4.28515625" style="132" customWidth="1"/>
    <col min="17" max="24" width="8" style="39" customWidth="1"/>
    <col min="25" max="25" width="12.140625" style="39" customWidth="1"/>
    <col min="26" max="26" width="5.42578125" style="132" customWidth="1"/>
    <col min="27" max="28" width="9.140625" style="39" hidden="1"/>
    <col min="29" max="33" width="0" style="39" hidden="1"/>
    <col min="34" max="16384" width="9.140625" style="39" hidden="1"/>
  </cols>
  <sheetData>
    <row r="1" spans="1:26" customFormat="1" ht="18" customHeight="1" x14ac:dyDescent="0.25">
      <c r="A1" s="41"/>
      <c r="B1" s="41"/>
      <c r="C1" s="41"/>
      <c r="D1" s="42"/>
      <c r="E1" s="42"/>
      <c r="F1" s="56"/>
      <c r="G1" s="56"/>
      <c r="H1" s="56"/>
      <c r="I1" s="56"/>
      <c r="J1" s="56"/>
      <c r="K1" s="56"/>
      <c r="L1" s="56"/>
      <c r="M1" s="56"/>
      <c r="N1" s="56"/>
      <c r="O1" s="56"/>
      <c r="P1" s="86"/>
      <c r="Q1" s="56"/>
      <c r="R1" s="56"/>
      <c r="S1" s="56"/>
      <c r="T1" s="56"/>
      <c r="U1" s="56"/>
      <c r="V1" s="56"/>
      <c r="W1" s="56"/>
      <c r="X1" s="56"/>
      <c r="Y1" s="56"/>
      <c r="Z1" s="88"/>
    </row>
    <row r="2" spans="1:26" customFormat="1" ht="27.75" customHeight="1" thickBot="1" x14ac:dyDescent="0.5">
      <c r="A2" s="41"/>
      <c r="B2" s="41"/>
      <c r="C2" s="41"/>
      <c r="D2" s="42"/>
      <c r="E2" s="42"/>
      <c r="F2" s="57" t="s">
        <v>379</v>
      </c>
      <c r="G2" s="58"/>
      <c r="H2" s="58"/>
      <c r="I2" s="58"/>
      <c r="J2" s="59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customFormat="1" ht="18" customHeight="1" thickTop="1" x14ac:dyDescent="0.25">
      <c r="A3" s="41"/>
      <c r="B3" s="41"/>
      <c r="C3" s="41"/>
      <c r="D3" s="42"/>
      <c r="E3" s="42"/>
      <c r="F3" s="56"/>
      <c r="G3" s="56"/>
      <c r="H3" s="56"/>
      <c r="I3" s="61"/>
      <c r="J3" s="61"/>
      <c r="K3" s="61"/>
      <c r="L3" s="61"/>
      <c r="M3" s="61"/>
      <c r="N3" s="61"/>
      <c r="O3" s="61"/>
      <c r="P3" s="87"/>
      <c r="Q3" s="61"/>
      <c r="R3" s="61"/>
      <c r="S3" s="61"/>
      <c r="T3" s="61"/>
      <c r="U3" s="61"/>
      <c r="V3" s="61"/>
      <c r="W3" s="61"/>
      <c r="X3" s="61"/>
      <c r="Y3" s="61"/>
      <c r="Z3" s="88"/>
    </row>
    <row r="4" spans="1:26" customFormat="1" ht="18" customHeight="1" x14ac:dyDescent="0.25">
      <c r="A4" s="41"/>
      <c r="B4" s="41"/>
      <c r="C4" s="41"/>
      <c r="D4" s="45"/>
      <c r="E4" s="45"/>
      <c r="F4" s="44" t="s">
        <v>380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 t="str">
        <f ca="1">"Atualizado em "&amp;TEXT(TODAY(),"dd/mm/aaaa")</f>
        <v>Atualizado em 12/09/2026</v>
      </c>
      <c r="T4" s="44"/>
      <c r="U4" s="44"/>
      <c r="V4" s="44"/>
      <c r="W4" s="44"/>
      <c r="X4" s="44"/>
      <c r="Y4" s="64"/>
      <c r="Z4" s="68"/>
    </row>
    <row r="5" spans="1:26" customFormat="1" ht="18" customHeight="1" x14ac:dyDescent="0.25">
      <c r="A5" s="41"/>
      <c r="B5" s="41"/>
      <c r="C5" s="41"/>
      <c r="D5" s="45"/>
      <c r="E5" s="45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64"/>
      <c r="Z5" s="68"/>
    </row>
    <row r="6" spans="1:26" customFormat="1" ht="18" customHeight="1" x14ac:dyDescent="0.25">
      <c r="A6" s="41"/>
      <c r="B6" s="41"/>
      <c r="C6" s="41"/>
      <c r="D6" s="45"/>
      <c r="E6" s="45"/>
      <c r="F6" s="7"/>
      <c r="G6" s="7"/>
      <c r="H6" s="7"/>
      <c r="I6" s="7"/>
      <c r="J6" s="7"/>
      <c r="K6" s="7"/>
      <c r="L6" s="7"/>
      <c r="M6" s="7"/>
      <c r="N6" s="7"/>
      <c r="O6" s="7"/>
      <c r="P6" s="68"/>
      <c r="Q6" s="64"/>
      <c r="R6" s="64"/>
      <c r="S6" s="64"/>
      <c r="T6" s="64"/>
      <c r="U6" s="64"/>
      <c r="V6" s="64"/>
      <c r="W6" s="64"/>
      <c r="X6" s="64"/>
      <c r="Y6" s="64"/>
      <c r="Z6" s="68"/>
    </row>
    <row r="7" spans="1:26" customFormat="1" ht="18" customHeight="1" thickBot="1" x14ac:dyDescent="0.3">
      <c r="A7" s="70"/>
      <c r="B7" s="70"/>
      <c r="C7" s="43"/>
      <c r="D7" s="4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68"/>
      <c r="Q7" s="67"/>
      <c r="R7" s="52"/>
      <c r="S7" s="52"/>
      <c r="T7" s="52"/>
      <c r="U7" s="52"/>
      <c r="V7" s="52"/>
      <c r="W7" s="52"/>
      <c r="X7" s="52"/>
      <c r="Y7" s="52"/>
      <c r="Z7" s="68"/>
    </row>
    <row r="8" spans="1:26" customFormat="1" ht="18" customHeight="1" thickTop="1" thickBot="1" x14ac:dyDescent="0.3">
      <c r="A8" s="114" t="s">
        <v>378</v>
      </c>
      <c r="B8" s="115"/>
      <c r="C8" s="116"/>
      <c r="D8" s="45"/>
      <c r="E8" s="45"/>
      <c r="F8" s="7"/>
      <c r="G8" s="7"/>
      <c r="H8" s="7"/>
      <c r="I8" s="7"/>
      <c r="J8" s="7"/>
      <c r="K8" s="7"/>
      <c r="L8" s="7"/>
      <c r="M8" s="7"/>
      <c r="N8" s="7"/>
      <c r="O8" s="7"/>
      <c r="P8" s="68"/>
      <c r="Q8" s="67"/>
      <c r="R8" s="52"/>
      <c r="S8" s="52"/>
      <c r="T8" s="52"/>
      <c r="U8" s="52"/>
      <c r="V8" s="52"/>
      <c r="W8" s="52"/>
      <c r="X8" s="52"/>
      <c r="Y8" s="52"/>
      <c r="Z8" s="68"/>
    </row>
    <row r="9" spans="1:26" customFormat="1" ht="18" customHeight="1" thickBot="1" x14ac:dyDescent="0.3">
      <c r="A9" s="117"/>
      <c r="B9" s="118"/>
      <c r="C9" s="119"/>
      <c r="D9" s="45"/>
      <c r="E9" s="45"/>
      <c r="F9" s="7"/>
      <c r="G9" s="7"/>
      <c r="H9" s="7"/>
      <c r="I9" s="7"/>
      <c r="J9" s="7"/>
      <c r="K9" s="7"/>
      <c r="L9" s="7"/>
      <c r="M9" s="7"/>
      <c r="N9" s="7"/>
      <c r="O9" s="7"/>
      <c r="P9" s="68"/>
      <c r="Q9" s="46"/>
      <c r="R9" s="46"/>
      <c r="S9" s="46"/>
      <c r="T9" s="46"/>
      <c r="U9" s="46"/>
      <c r="V9" s="46"/>
      <c r="W9" s="46"/>
      <c r="X9" s="46"/>
      <c r="Y9" s="62"/>
      <c r="Z9" s="68"/>
    </row>
    <row r="10" spans="1:26" customFormat="1" ht="18" customHeight="1" thickBot="1" x14ac:dyDescent="0.3">
      <c r="A10" s="120" t="s">
        <v>400</v>
      </c>
      <c r="B10" s="121"/>
      <c r="C10" s="122"/>
      <c r="D10" s="45"/>
      <c r="E10" s="45"/>
      <c r="F10" s="7"/>
      <c r="G10" s="7"/>
      <c r="H10" s="7"/>
      <c r="I10" s="7"/>
      <c r="J10" s="7"/>
      <c r="K10" s="7"/>
      <c r="L10" s="7"/>
      <c r="M10" s="7"/>
      <c r="N10" s="7"/>
      <c r="O10" s="7"/>
      <c r="P10" s="68"/>
      <c r="Q10" s="46"/>
      <c r="R10" s="46"/>
      <c r="S10" s="46"/>
      <c r="T10" s="46"/>
      <c r="U10" s="46"/>
      <c r="V10" s="46"/>
      <c r="W10" s="46"/>
      <c r="X10" s="46"/>
      <c r="Y10" s="62"/>
      <c r="Z10" s="68"/>
    </row>
    <row r="11" spans="1:26" customFormat="1" ht="18" customHeight="1" thickBot="1" x14ac:dyDescent="0.3">
      <c r="A11" s="120"/>
      <c r="B11" s="121"/>
      <c r="C11" s="122"/>
      <c r="D11" s="76"/>
      <c r="E11" s="45"/>
      <c r="F11" s="7"/>
      <c r="G11" s="7"/>
      <c r="H11" s="7"/>
      <c r="I11" s="7"/>
      <c r="J11" s="7"/>
      <c r="K11" s="7"/>
      <c r="L11" s="7"/>
      <c r="M11" s="7"/>
      <c r="N11" s="7"/>
      <c r="O11" s="7"/>
      <c r="P11" s="68"/>
      <c r="Q11" s="63"/>
      <c r="R11" s="63"/>
      <c r="S11" s="63"/>
      <c r="T11" s="63"/>
      <c r="U11" s="65"/>
      <c r="V11" s="65"/>
      <c r="W11" s="65"/>
      <c r="X11" s="65"/>
      <c r="Y11" s="65"/>
      <c r="Z11" s="68"/>
    </row>
    <row r="12" spans="1:26" customFormat="1" ht="18" customHeight="1" thickBot="1" x14ac:dyDescent="0.3">
      <c r="A12" s="120"/>
      <c r="B12" s="121"/>
      <c r="C12" s="122"/>
      <c r="D12" s="76"/>
      <c r="E12" s="45"/>
      <c r="F12" s="7"/>
      <c r="G12" s="7"/>
      <c r="H12" s="7"/>
      <c r="I12" s="7"/>
      <c r="J12" s="7"/>
      <c r="K12" s="7"/>
      <c r="L12" s="7"/>
      <c r="M12" s="7"/>
      <c r="N12" s="7"/>
      <c r="O12" s="7"/>
      <c r="P12" s="68"/>
      <c r="Q12" s="63"/>
      <c r="R12" s="63"/>
      <c r="S12" s="63"/>
      <c r="T12" s="63"/>
      <c r="U12" s="65"/>
      <c r="V12" s="65"/>
      <c r="W12" s="65"/>
      <c r="X12" s="65"/>
      <c r="Y12" s="65"/>
      <c r="Z12" s="68"/>
    </row>
    <row r="13" spans="1:26" customFormat="1" ht="11.25" customHeight="1" thickBot="1" x14ac:dyDescent="0.3">
      <c r="A13" s="120"/>
      <c r="B13" s="121"/>
      <c r="C13" s="122"/>
      <c r="D13" s="45"/>
      <c r="E13" s="45"/>
      <c r="F13" s="47"/>
      <c r="G13" s="47"/>
      <c r="H13" s="47"/>
      <c r="I13" s="47"/>
      <c r="J13" s="48"/>
      <c r="K13" s="48"/>
      <c r="L13" s="48"/>
      <c r="M13" s="48"/>
      <c r="N13" s="48"/>
      <c r="O13" s="48"/>
      <c r="P13" s="48"/>
      <c r="Q13" s="47"/>
      <c r="R13" s="47"/>
      <c r="S13" s="47"/>
      <c r="T13" s="47"/>
      <c r="U13" s="47"/>
      <c r="V13" s="47"/>
      <c r="W13" s="47"/>
      <c r="X13" s="47"/>
      <c r="Y13" s="48"/>
      <c r="Z13" s="85"/>
    </row>
    <row r="14" spans="1:26" customFormat="1" ht="12" customHeight="1" thickBot="1" x14ac:dyDescent="0.3">
      <c r="A14" s="123" t="s">
        <v>348</v>
      </c>
      <c r="B14" s="124"/>
      <c r="C14" s="125"/>
      <c r="D14" s="45"/>
      <c r="E14" s="45"/>
      <c r="F14" s="7"/>
      <c r="G14" s="7"/>
      <c r="H14" s="7"/>
      <c r="I14" s="7"/>
      <c r="J14" s="7"/>
      <c r="K14" s="7"/>
      <c r="L14" s="7"/>
      <c r="M14" s="7"/>
      <c r="N14" s="7"/>
      <c r="O14" s="7"/>
      <c r="P14" s="68"/>
      <c r="Q14" s="63"/>
      <c r="R14" s="63"/>
      <c r="S14" s="63"/>
      <c r="T14" s="63"/>
      <c r="U14" s="65"/>
      <c r="V14" s="65"/>
      <c r="W14" s="65"/>
      <c r="X14" s="65"/>
      <c r="Y14" s="65"/>
      <c r="Z14" s="68"/>
    </row>
    <row r="15" spans="1:26" customFormat="1" ht="12" customHeight="1" thickBot="1" x14ac:dyDescent="0.3">
      <c r="A15" s="123"/>
      <c r="B15" s="124"/>
      <c r="C15" s="125"/>
      <c r="D15" s="45"/>
      <c r="E15" s="45"/>
      <c r="F15" s="7"/>
      <c r="G15" s="7"/>
      <c r="H15" s="7"/>
      <c r="I15" s="7"/>
      <c r="J15" s="7"/>
      <c r="K15" s="7"/>
      <c r="L15" s="7"/>
      <c r="M15" s="7"/>
      <c r="N15" s="7"/>
      <c r="O15" s="7"/>
      <c r="P15" s="68"/>
      <c r="Q15" s="63"/>
      <c r="R15" s="63"/>
      <c r="S15" s="63"/>
      <c r="T15" s="63"/>
      <c r="U15" s="65"/>
      <c r="V15" s="65"/>
      <c r="W15" s="65"/>
      <c r="X15" s="65"/>
      <c r="Y15" s="65"/>
      <c r="Z15" s="68"/>
    </row>
    <row r="16" spans="1:26" customFormat="1" ht="21.75" customHeight="1" thickBot="1" x14ac:dyDescent="0.3">
      <c r="A16" s="123"/>
      <c r="B16" s="124"/>
      <c r="C16" s="125"/>
      <c r="D16" s="45"/>
      <c r="E16" s="45"/>
      <c r="F16" s="84" t="str">
        <f>IF('Dashboard Engine'!V21,"FATURAMENTO ANUAL","FATURAMENTO ANUAL — SEM DADOS")</f>
        <v>FATURAMENTO ANUAL</v>
      </c>
      <c r="G16" s="84"/>
      <c r="H16" s="84"/>
      <c r="I16" s="84"/>
      <c r="J16" s="84"/>
      <c r="K16" s="84"/>
      <c r="L16" s="84"/>
      <c r="M16" s="84"/>
      <c r="N16" s="84"/>
      <c r="O16" s="84"/>
      <c r="P16" s="68"/>
      <c r="Q16" s="84" t="str">
        <f>IF('Dashboard Engine'!V22,"RENOVAÇÃO AUTOMÁTICA","RENOVAÇÃO AUTOMÁTICA — SEM DADOS")</f>
        <v>RENOVAÇÃO AUTOMÁTICA</v>
      </c>
      <c r="R16" s="84"/>
      <c r="S16" s="84"/>
      <c r="T16" s="84"/>
      <c r="U16" s="84"/>
      <c r="V16" s="84"/>
      <c r="W16" s="84"/>
      <c r="X16" s="84"/>
      <c r="Y16" s="84"/>
      <c r="Z16" s="68"/>
    </row>
    <row r="17" spans="1:26" customFormat="1" ht="18" customHeight="1" thickBot="1" x14ac:dyDescent="0.3">
      <c r="A17" s="123" t="s">
        <v>403</v>
      </c>
      <c r="B17" s="124"/>
      <c r="C17" s="12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2"/>
      <c r="Q17" s="45"/>
      <c r="R17" s="45"/>
      <c r="S17" s="45"/>
      <c r="T17" s="45"/>
      <c r="U17" s="45"/>
      <c r="V17" s="45"/>
      <c r="W17" s="45"/>
      <c r="X17" s="45"/>
      <c r="Y17" s="45"/>
      <c r="Z17" s="68"/>
    </row>
    <row r="18" spans="1:26" customFormat="1" ht="18" customHeight="1" thickBot="1" x14ac:dyDescent="0.3">
      <c r="A18" s="123"/>
      <c r="B18" s="124"/>
      <c r="C18" s="12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2"/>
      <c r="Q18" s="45"/>
      <c r="R18" s="45"/>
      <c r="S18" s="45"/>
      <c r="T18" s="45"/>
      <c r="U18" s="45"/>
      <c r="V18" s="45"/>
      <c r="W18" s="45"/>
      <c r="X18" s="45"/>
      <c r="Y18" s="45"/>
      <c r="Z18" s="68"/>
    </row>
    <row r="19" spans="1:26" customFormat="1" ht="18" customHeight="1" thickBot="1" x14ac:dyDescent="0.3">
      <c r="A19" s="123"/>
      <c r="B19" s="124"/>
      <c r="C19" s="125"/>
      <c r="D19" s="45"/>
      <c r="E19" s="45"/>
      <c r="F19" s="7"/>
      <c r="G19" s="7"/>
      <c r="H19" s="7"/>
      <c r="I19" s="7"/>
      <c r="J19" s="7"/>
      <c r="K19" s="7"/>
      <c r="L19" s="7"/>
      <c r="M19" s="51"/>
      <c r="N19" s="51"/>
      <c r="O19" s="51"/>
      <c r="P19" s="52"/>
      <c r="Q19" s="7"/>
      <c r="R19" s="7"/>
      <c r="S19" s="7"/>
      <c r="T19" s="7"/>
      <c r="U19" s="7"/>
      <c r="V19" s="7"/>
      <c r="W19" s="7"/>
      <c r="X19" s="7"/>
      <c r="Y19" s="51"/>
      <c r="Z19" s="68"/>
    </row>
    <row r="20" spans="1:26" customFormat="1" ht="18" customHeight="1" thickBot="1" x14ac:dyDescent="0.3">
      <c r="A20" s="126" t="str">
        <f>TEXT('Dashboard Engine'!AH3,"mmm/aaaa")&amp;"–"&amp;TEXT(EDATE('Dashboard Engine'!AH4,-1),"mmm/aaaa")&amp;CHAR(10)&amp;"vs "&amp;TEXT(_xlfn.XLOOKUP(A17,'Dashboard Engine'!AA2:AA8,'Dashboard Engine'!AD2:AD8),"mmm/aaaa")&amp;"–"&amp;TEXT(EDATE(_xlfn.XLOOKUP(A17,'Dashboard Engine'!AA2:AA8,'Dashboard Engine'!AE2:AE8),-1),"mmm/aaaa")</f>
        <v>jan/2024–jun/2024
vs jul/2023–dez/2023</v>
      </c>
      <c r="B20" s="127"/>
      <c r="C20" s="128"/>
      <c r="D20" s="45"/>
      <c r="E20" s="45"/>
      <c r="F20" s="52"/>
      <c r="G20" s="52"/>
      <c r="H20" s="52"/>
      <c r="I20" s="52"/>
      <c r="J20" s="52"/>
      <c r="K20" s="52"/>
      <c r="L20" s="53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3"/>
      <c r="Y20" s="52"/>
      <c r="Z20" s="68"/>
    </row>
    <row r="21" spans="1:26" customFormat="1" ht="18" customHeight="1" thickBot="1" x14ac:dyDescent="0.3">
      <c r="A21" s="126"/>
      <c r="B21" s="127"/>
      <c r="C21" s="128"/>
      <c r="D21" s="45"/>
      <c r="E21" s="45"/>
      <c r="F21" s="52"/>
      <c r="G21" s="52"/>
      <c r="H21" s="52"/>
      <c r="I21" s="52"/>
      <c r="J21" s="52"/>
      <c r="K21" s="52"/>
      <c r="L21" s="53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3"/>
      <c r="Y21" s="52"/>
      <c r="Z21" s="68"/>
    </row>
    <row r="22" spans="1:26" customFormat="1" ht="18" customHeight="1" thickBot="1" x14ac:dyDescent="0.3">
      <c r="A22" s="126"/>
      <c r="B22" s="127"/>
      <c r="C22" s="128"/>
      <c r="D22" s="45"/>
      <c r="E22" s="45"/>
      <c r="F22" s="52"/>
      <c r="G22" s="52"/>
      <c r="H22" s="52"/>
      <c r="I22" s="52"/>
      <c r="J22" s="52"/>
      <c r="K22" s="52"/>
      <c r="L22" s="53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3"/>
      <c r="Y22" s="52"/>
      <c r="Z22" s="68"/>
    </row>
    <row r="23" spans="1:26" customFormat="1" ht="18" customHeight="1" thickBot="1" x14ac:dyDescent="0.3">
      <c r="A23" s="126" t="s">
        <v>381</v>
      </c>
      <c r="B23" s="127"/>
      <c r="C23" s="128"/>
      <c r="D23" s="45"/>
      <c r="E23" s="45"/>
      <c r="F23" s="52"/>
      <c r="G23" s="52"/>
      <c r="H23" s="52"/>
      <c r="I23" s="52"/>
      <c r="J23" s="52"/>
      <c r="K23" s="52"/>
      <c r="L23" s="53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3"/>
      <c r="Y23" s="52"/>
      <c r="Z23" s="68"/>
    </row>
    <row r="24" spans="1:26" customFormat="1" ht="18" customHeight="1" thickBot="1" x14ac:dyDescent="0.3">
      <c r="A24" s="126"/>
      <c r="B24" s="127"/>
      <c r="C24" s="128"/>
      <c r="D24" s="45"/>
      <c r="E24" s="45"/>
      <c r="F24" s="52"/>
      <c r="G24" s="52"/>
      <c r="H24" s="52"/>
      <c r="I24" s="52"/>
      <c r="J24" s="52"/>
      <c r="K24" s="52"/>
      <c r="L24" s="53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52"/>
      <c r="Z24" s="68"/>
    </row>
    <row r="25" spans="1:26" customFormat="1" ht="18" customHeight="1" thickBot="1" x14ac:dyDescent="0.3">
      <c r="A25" s="129"/>
      <c r="B25" s="130"/>
      <c r="C25" s="131"/>
      <c r="D25" s="45"/>
      <c r="E25" s="45"/>
      <c r="F25" s="52"/>
      <c r="G25" s="52"/>
      <c r="H25" s="52"/>
      <c r="I25" s="52"/>
      <c r="J25" s="52"/>
      <c r="K25" s="52"/>
      <c r="L25" s="53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3"/>
      <c r="Y25" s="52"/>
      <c r="Z25" s="68"/>
    </row>
    <row r="26" spans="1:26" customFormat="1" ht="18" customHeight="1" thickTop="1" x14ac:dyDescent="0.25">
      <c r="A26" s="113"/>
      <c r="B26" s="113"/>
      <c r="C26" s="113"/>
      <c r="D26" s="45"/>
      <c r="E26" s="45"/>
      <c r="F26" s="52"/>
      <c r="G26" s="52"/>
      <c r="H26" s="52"/>
      <c r="I26" s="52"/>
      <c r="J26" s="52"/>
      <c r="K26" s="52"/>
      <c r="L26" s="53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3"/>
      <c r="Y26" s="52"/>
      <c r="Z26" s="68"/>
    </row>
    <row r="27" spans="1:26" customFormat="1" ht="18" customHeight="1" x14ac:dyDescent="0.25">
      <c r="A27" s="113"/>
      <c r="B27" s="113"/>
      <c r="C27" s="113"/>
      <c r="D27" s="45"/>
      <c r="E27" s="45"/>
      <c r="F27" s="52"/>
      <c r="G27" s="52"/>
      <c r="H27" s="52"/>
      <c r="I27" s="52"/>
      <c r="J27" s="52"/>
      <c r="K27" s="52"/>
      <c r="L27" s="53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 s="52"/>
      <c r="Z27" s="68"/>
    </row>
    <row r="28" spans="1:26" customFormat="1" ht="18" customHeight="1" x14ac:dyDescent="0.25">
      <c r="A28" s="40"/>
      <c r="B28" s="40"/>
      <c r="C28" s="40"/>
      <c r="D28" s="45"/>
      <c r="E28" s="45"/>
      <c r="F28" s="52"/>
      <c r="G28" s="52"/>
      <c r="H28" s="52"/>
      <c r="I28" s="52"/>
      <c r="J28" s="52"/>
      <c r="K28" s="52"/>
      <c r="L28" s="53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3"/>
      <c r="Y28" s="52"/>
      <c r="Z28" s="68"/>
    </row>
    <row r="29" spans="1:26" customFormat="1" ht="18" customHeight="1" x14ac:dyDescent="0.25">
      <c r="A29" s="40"/>
      <c r="B29" s="40"/>
      <c r="C29" s="40"/>
      <c r="D29" s="45"/>
      <c r="E29" s="45"/>
      <c r="F29" s="52"/>
      <c r="G29" s="52"/>
      <c r="H29" s="52"/>
      <c r="I29" s="52"/>
      <c r="J29" s="52"/>
      <c r="K29" s="52"/>
      <c r="L29" s="53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3"/>
      <c r="Y29" s="52"/>
      <c r="Z29" s="68"/>
    </row>
    <row r="30" spans="1:26" customFormat="1" ht="18" customHeight="1" x14ac:dyDescent="0.25">
      <c r="A30" s="40"/>
      <c r="B30" s="40"/>
      <c r="C30" s="40"/>
      <c r="D30" s="45"/>
      <c r="E30" s="45"/>
      <c r="F30" s="52"/>
      <c r="G30" s="52"/>
      <c r="H30" s="52"/>
      <c r="I30" s="52"/>
      <c r="J30" s="52"/>
      <c r="K30" s="52"/>
      <c r="L30" s="53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52"/>
      <c r="Z30" s="68"/>
    </row>
    <row r="31" spans="1:26" customFormat="1" ht="18" customHeight="1" x14ac:dyDescent="0.25">
      <c r="A31" s="40"/>
      <c r="B31" s="40"/>
      <c r="C31" s="40"/>
      <c r="D31" s="45"/>
      <c r="E31" s="45"/>
      <c r="F31" s="52"/>
      <c r="G31" s="52"/>
      <c r="H31" s="52"/>
      <c r="I31" s="52"/>
      <c r="J31" s="52"/>
      <c r="K31" s="52"/>
      <c r="L31" s="53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3"/>
      <c r="Y31" s="52"/>
      <c r="Z31" s="68"/>
    </row>
    <row r="32" spans="1:26" customFormat="1" ht="18" customHeight="1" x14ac:dyDescent="0.25">
      <c r="A32" s="40"/>
      <c r="B32" s="40"/>
      <c r="C32" s="40"/>
      <c r="D32" s="45"/>
      <c r="E32" s="45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68"/>
    </row>
    <row r="33" spans="1:26" customFormat="1" ht="18" customHeight="1" x14ac:dyDescent="0.25">
      <c r="A33" s="40"/>
      <c r="B33" s="40"/>
      <c r="C33" s="40"/>
      <c r="D33" s="45"/>
      <c r="E33" s="4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68"/>
    </row>
    <row r="34" spans="1:26" customFormat="1" ht="18" customHeight="1" thickBot="1" x14ac:dyDescent="0.3">
      <c r="A34" s="40"/>
      <c r="B34" s="40"/>
      <c r="C34" s="40"/>
      <c r="D34" s="45"/>
      <c r="E34" s="45"/>
      <c r="F34" s="103"/>
      <c r="G34" s="103"/>
      <c r="H34" s="103"/>
      <c r="I34" s="103"/>
      <c r="J34" s="85"/>
      <c r="K34" s="85"/>
      <c r="L34" s="85"/>
      <c r="M34" s="85"/>
      <c r="N34" s="85"/>
      <c r="O34" s="85"/>
      <c r="P34" s="85"/>
      <c r="Q34" s="103"/>
      <c r="R34" s="103"/>
      <c r="S34" s="103"/>
      <c r="T34" s="103"/>
      <c r="U34" s="103"/>
      <c r="V34" s="103"/>
      <c r="W34" s="103"/>
      <c r="X34" s="103"/>
      <c r="Y34" s="85"/>
      <c r="Z34" s="68"/>
    </row>
    <row r="35" spans="1:26" customFormat="1" ht="21" customHeight="1" thickTop="1" x14ac:dyDescent="0.25">
      <c r="A35" s="40"/>
      <c r="B35" s="40"/>
      <c r="C35" s="40"/>
      <c r="D35" s="45"/>
      <c r="E35" s="45"/>
      <c r="F35" s="105"/>
      <c r="G35" s="106"/>
      <c r="H35" s="106"/>
      <c r="I35" s="106"/>
      <c r="J35" s="106"/>
      <c r="K35" s="106"/>
      <c r="L35" s="106"/>
      <c r="M35" s="106"/>
      <c r="N35" s="106"/>
      <c r="O35" s="108"/>
      <c r="P35" s="68"/>
      <c r="Q35" s="105"/>
      <c r="R35" s="106"/>
      <c r="S35" s="106"/>
      <c r="T35" s="106"/>
      <c r="U35" s="106"/>
      <c r="V35" s="106"/>
      <c r="W35" s="106"/>
      <c r="X35" s="106"/>
      <c r="Y35" s="108"/>
      <c r="Z35" s="68"/>
    </row>
    <row r="36" spans="1:26" customFormat="1" ht="18" customHeight="1" x14ac:dyDescent="0.25">
      <c r="A36" s="40"/>
      <c r="B36" s="40"/>
      <c r="C36" s="40"/>
      <c r="D36" s="45"/>
      <c r="E36" s="45"/>
      <c r="F36" s="110"/>
      <c r="G36" s="111"/>
      <c r="H36" s="111"/>
      <c r="I36" s="111"/>
      <c r="J36" s="111"/>
      <c r="K36" s="111"/>
      <c r="L36" s="111"/>
      <c r="M36" s="111"/>
      <c r="N36" s="111"/>
      <c r="O36" s="112"/>
      <c r="P36" s="52"/>
      <c r="Q36" s="107"/>
      <c r="R36" s="83"/>
      <c r="S36" s="83"/>
      <c r="T36" s="83"/>
      <c r="U36" s="83"/>
      <c r="V36" s="83"/>
      <c r="W36" s="83"/>
      <c r="X36" s="83"/>
      <c r="Y36" s="109"/>
      <c r="Z36" s="68"/>
    </row>
    <row r="37" spans="1:26" s="69" customFormat="1" ht="18" customHeight="1" x14ac:dyDescent="0.25">
      <c r="A37" s="83"/>
      <c r="B37" s="83"/>
      <c r="C37" s="83"/>
      <c r="D37" s="52"/>
      <c r="E37" s="52"/>
      <c r="F37" s="110"/>
      <c r="G37" s="111"/>
      <c r="H37" s="111"/>
      <c r="I37" s="111"/>
      <c r="J37" s="111"/>
      <c r="K37" s="111"/>
      <c r="L37" s="111"/>
      <c r="M37" s="111"/>
      <c r="N37" s="111"/>
      <c r="O37" s="112"/>
      <c r="P37" s="52"/>
      <c r="Q37" s="107"/>
      <c r="R37" s="83"/>
      <c r="S37" s="83"/>
      <c r="T37" s="83"/>
      <c r="U37" s="83"/>
      <c r="V37" s="83"/>
      <c r="W37" s="83"/>
      <c r="X37" s="83"/>
      <c r="Y37" s="109"/>
      <c r="Z37" s="68"/>
    </row>
    <row r="38" spans="1:26" customFormat="1" ht="18" customHeight="1" x14ac:dyDescent="0.25">
      <c r="A38" s="40"/>
      <c r="B38" s="40"/>
      <c r="C38" s="40"/>
      <c r="D38" s="45"/>
      <c r="E38" s="45"/>
      <c r="F38" s="89"/>
      <c r="G38" s="68"/>
      <c r="H38" s="68"/>
      <c r="I38" s="68"/>
      <c r="J38" s="68"/>
      <c r="K38" s="68"/>
      <c r="L38" s="68"/>
      <c r="M38" s="51"/>
      <c r="N38" s="51"/>
      <c r="O38" s="90"/>
      <c r="P38" s="52"/>
      <c r="Q38" s="104"/>
      <c r="R38" s="49"/>
      <c r="S38" s="49"/>
      <c r="T38" s="49"/>
      <c r="U38" s="49"/>
      <c r="V38" s="49"/>
      <c r="W38" s="49"/>
      <c r="X38" s="50"/>
      <c r="Y38" s="90"/>
      <c r="Z38" s="68"/>
    </row>
    <row r="39" spans="1:26" customFormat="1" ht="18" customHeight="1" x14ac:dyDescent="0.25">
      <c r="A39" s="40"/>
      <c r="B39" s="40"/>
      <c r="C39" s="40"/>
      <c r="D39" s="45"/>
      <c r="E39" s="45"/>
      <c r="F39" s="91"/>
      <c r="G39" s="52"/>
      <c r="H39" s="52"/>
      <c r="I39" s="52"/>
      <c r="J39" s="52"/>
      <c r="K39" s="52"/>
      <c r="L39" s="53"/>
      <c r="M39" s="52"/>
      <c r="N39" s="52"/>
      <c r="O39" s="92"/>
      <c r="P39" s="52"/>
      <c r="Q39" s="91"/>
      <c r="R39" s="52"/>
      <c r="S39" s="52"/>
      <c r="T39" s="52"/>
      <c r="U39" s="52"/>
      <c r="V39" s="52"/>
      <c r="W39" s="52"/>
      <c r="X39" s="53"/>
      <c r="Y39" s="92"/>
      <c r="Z39" s="68"/>
    </row>
    <row r="40" spans="1:26" customFormat="1" ht="18" customHeight="1" x14ac:dyDescent="0.25">
      <c r="A40" s="40"/>
      <c r="B40" s="40"/>
      <c r="C40" s="40"/>
      <c r="D40" s="45"/>
      <c r="E40" s="45"/>
      <c r="F40" s="91"/>
      <c r="G40" s="52"/>
      <c r="H40" s="52"/>
      <c r="I40" s="52"/>
      <c r="J40" s="52"/>
      <c r="K40" s="52"/>
      <c r="L40" s="53"/>
      <c r="M40" s="52"/>
      <c r="N40" s="52"/>
      <c r="O40" s="92"/>
      <c r="P40" s="52"/>
      <c r="Q40" s="91"/>
      <c r="R40" s="52"/>
      <c r="S40" s="52"/>
      <c r="T40" s="52"/>
      <c r="U40" s="52"/>
      <c r="V40" s="52"/>
      <c r="W40" s="52"/>
      <c r="X40" s="53"/>
      <c r="Y40" s="92"/>
      <c r="Z40" s="68"/>
    </row>
    <row r="41" spans="1:26" customFormat="1" ht="18" customHeight="1" x14ac:dyDescent="0.25">
      <c r="A41" s="40"/>
      <c r="B41" s="40"/>
      <c r="C41" s="40"/>
      <c r="D41" s="45"/>
      <c r="E41" s="45"/>
      <c r="F41" s="91"/>
      <c r="G41" s="52"/>
      <c r="H41" s="52"/>
      <c r="I41" s="52"/>
      <c r="J41" s="52"/>
      <c r="K41" s="52"/>
      <c r="L41" s="53"/>
      <c r="M41" s="52"/>
      <c r="N41" s="52"/>
      <c r="O41" s="92"/>
      <c r="P41" s="52"/>
      <c r="Q41" s="91"/>
      <c r="R41" s="52"/>
      <c r="S41" s="52"/>
      <c r="T41" s="52"/>
      <c r="U41" s="52"/>
      <c r="V41" s="52"/>
      <c r="W41" s="52"/>
      <c r="X41" s="53"/>
      <c r="Y41" s="92"/>
      <c r="Z41" s="68"/>
    </row>
    <row r="42" spans="1:26" customFormat="1" ht="18" customHeight="1" x14ac:dyDescent="0.25">
      <c r="A42" s="40"/>
      <c r="B42" s="40"/>
      <c r="C42" s="40"/>
      <c r="D42" s="45"/>
      <c r="E42" s="45"/>
      <c r="F42" s="91"/>
      <c r="G42" s="52"/>
      <c r="H42" s="52"/>
      <c r="I42" s="52"/>
      <c r="J42" s="52"/>
      <c r="K42" s="52"/>
      <c r="L42" s="53"/>
      <c r="M42" s="52"/>
      <c r="N42" s="52"/>
      <c r="O42" s="92"/>
      <c r="P42" s="52"/>
      <c r="Q42" s="91"/>
      <c r="R42" s="52"/>
      <c r="S42" s="52"/>
      <c r="T42" s="52"/>
      <c r="U42" s="52"/>
      <c r="V42" s="52"/>
      <c r="W42" s="52"/>
      <c r="X42" s="53"/>
      <c r="Y42" s="92"/>
      <c r="Z42" s="68"/>
    </row>
    <row r="43" spans="1:26" customFormat="1" ht="18" customHeight="1" x14ac:dyDescent="0.25">
      <c r="A43" s="40"/>
      <c r="B43" s="40"/>
      <c r="C43" s="40"/>
      <c r="D43" s="45"/>
      <c r="E43" s="45"/>
      <c r="F43" s="91"/>
      <c r="G43" s="52"/>
      <c r="H43" s="52"/>
      <c r="I43" s="52"/>
      <c r="J43" s="52"/>
      <c r="K43" s="52"/>
      <c r="L43" s="53"/>
      <c r="M43" s="52"/>
      <c r="N43" s="52"/>
      <c r="O43" s="92"/>
      <c r="P43" s="52"/>
      <c r="Q43" s="91"/>
      <c r="R43" s="52"/>
      <c r="S43" s="52"/>
      <c r="T43" s="52"/>
      <c r="U43" s="52"/>
      <c r="V43" s="52"/>
      <c r="W43" s="52"/>
      <c r="X43" s="53"/>
      <c r="Y43" s="92"/>
      <c r="Z43" s="68"/>
    </row>
    <row r="44" spans="1:26" customFormat="1" ht="18" customHeight="1" x14ac:dyDescent="0.25">
      <c r="A44" s="40"/>
      <c r="B44" s="40"/>
      <c r="C44" s="40"/>
      <c r="D44" s="45"/>
      <c r="E44" s="45"/>
      <c r="F44" s="91"/>
      <c r="G44" s="52"/>
      <c r="H44" s="52"/>
      <c r="I44" s="52"/>
      <c r="J44" s="52"/>
      <c r="K44" s="52"/>
      <c r="L44" s="53"/>
      <c r="M44" s="52"/>
      <c r="N44" s="52"/>
      <c r="O44" s="92"/>
      <c r="P44" s="52"/>
      <c r="Q44" s="91"/>
      <c r="R44" s="52"/>
      <c r="S44" s="52"/>
      <c r="T44" s="52"/>
      <c r="U44" s="52"/>
      <c r="V44" s="52"/>
      <c r="W44" s="52"/>
      <c r="X44" s="53"/>
      <c r="Y44" s="92"/>
      <c r="Z44" s="68"/>
    </row>
    <row r="45" spans="1:26" customFormat="1" ht="18" customHeight="1" x14ac:dyDescent="0.25">
      <c r="A45" s="40"/>
      <c r="B45" s="40"/>
      <c r="C45" s="40"/>
      <c r="D45" s="45"/>
      <c r="E45" s="45"/>
      <c r="F45" s="91"/>
      <c r="G45" s="52"/>
      <c r="H45" s="52"/>
      <c r="I45" s="52"/>
      <c r="J45" s="52"/>
      <c r="K45" s="52"/>
      <c r="L45" s="53"/>
      <c r="M45" s="52"/>
      <c r="N45" s="52"/>
      <c r="O45" s="92"/>
      <c r="P45" s="52"/>
      <c r="Q45" s="91"/>
      <c r="R45" s="52"/>
      <c r="S45" s="52"/>
      <c r="T45" s="52"/>
      <c r="U45" s="52"/>
      <c r="V45" s="52"/>
      <c r="W45" s="52"/>
      <c r="X45" s="53"/>
      <c r="Y45" s="92"/>
      <c r="Z45" s="68"/>
    </row>
    <row r="46" spans="1:26" customFormat="1" ht="18" customHeight="1" x14ac:dyDescent="0.25">
      <c r="A46" s="40"/>
      <c r="B46" s="40"/>
      <c r="C46" s="40"/>
      <c r="D46" s="45"/>
      <c r="E46" s="45"/>
      <c r="F46" s="91"/>
      <c r="G46" s="52"/>
      <c r="H46" s="52"/>
      <c r="I46" s="52"/>
      <c r="J46" s="52"/>
      <c r="K46" s="52"/>
      <c r="L46" s="53"/>
      <c r="M46" s="52"/>
      <c r="N46" s="52"/>
      <c r="O46" s="92"/>
      <c r="P46" s="52"/>
      <c r="Q46" s="91"/>
      <c r="R46" s="52"/>
      <c r="S46" s="52"/>
      <c r="T46" s="52"/>
      <c r="U46" s="52"/>
      <c r="V46" s="52"/>
      <c r="W46" s="52"/>
      <c r="X46" s="53"/>
      <c r="Y46" s="92"/>
      <c r="Z46" s="68"/>
    </row>
    <row r="47" spans="1:26" customFormat="1" ht="18" customHeight="1" x14ac:dyDescent="0.25">
      <c r="A47" s="40"/>
      <c r="B47" s="40"/>
      <c r="C47" s="40"/>
      <c r="D47" s="45"/>
      <c r="E47" s="45"/>
      <c r="F47" s="91"/>
      <c r="G47" s="52"/>
      <c r="H47" s="52"/>
      <c r="I47" s="52"/>
      <c r="J47" s="52"/>
      <c r="K47" s="52"/>
      <c r="L47" s="53"/>
      <c r="M47" s="52"/>
      <c r="N47" s="52"/>
      <c r="O47" s="92"/>
      <c r="P47" s="52"/>
      <c r="Q47" s="91"/>
      <c r="R47" s="52"/>
      <c r="S47" s="52"/>
      <c r="T47" s="52"/>
      <c r="U47" s="52"/>
      <c r="V47" s="52"/>
      <c r="W47" s="52"/>
      <c r="X47" s="53"/>
      <c r="Y47" s="92"/>
      <c r="Z47" s="68"/>
    </row>
    <row r="48" spans="1:26" customFormat="1" ht="18" customHeight="1" x14ac:dyDescent="0.25">
      <c r="A48" s="40"/>
      <c r="B48" s="40"/>
      <c r="C48" s="40"/>
      <c r="D48" s="45"/>
      <c r="E48" s="45"/>
      <c r="F48" s="91"/>
      <c r="G48" s="52"/>
      <c r="H48" s="52"/>
      <c r="I48" s="52"/>
      <c r="J48" s="52"/>
      <c r="K48" s="52"/>
      <c r="L48" s="53"/>
      <c r="M48" s="52"/>
      <c r="N48" s="52"/>
      <c r="O48" s="92"/>
      <c r="P48" s="52"/>
      <c r="Q48" s="91"/>
      <c r="R48" s="52"/>
      <c r="S48" s="52"/>
      <c r="T48" s="52"/>
      <c r="U48" s="52"/>
      <c r="V48" s="52"/>
      <c r="W48" s="52"/>
      <c r="X48" s="53"/>
      <c r="Y48" s="92"/>
      <c r="Z48" s="68"/>
    </row>
    <row r="49" spans="1:26" customFormat="1" ht="18" customHeight="1" x14ac:dyDescent="0.25">
      <c r="A49" s="40"/>
      <c r="B49" s="40"/>
      <c r="C49" s="40"/>
      <c r="D49" s="45"/>
      <c r="E49" s="45"/>
      <c r="F49" s="91"/>
      <c r="G49" s="52"/>
      <c r="H49" s="52"/>
      <c r="I49" s="52"/>
      <c r="J49" s="52"/>
      <c r="K49" s="52"/>
      <c r="L49" s="53"/>
      <c r="M49" s="52"/>
      <c r="N49" s="52"/>
      <c r="O49" s="92"/>
      <c r="P49" s="52"/>
      <c r="Q49" s="91"/>
      <c r="R49" s="52"/>
      <c r="S49" s="52"/>
      <c r="T49" s="52"/>
      <c r="U49" s="52"/>
      <c r="V49" s="52"/>
      <c r="W49" s="52"/>
      <c r="X49" s="53"/>
      <c r="Y49" s="92"/>
      <c r="Z49" s="68"/>
    </row>
    <row r="50" spans="1:26" customFormat="1" ht="18" customHeight="1" x14ac:dyDescent="0.25">
      <c r="A50" s="40"/>
      <c r="B50" s="40"/>
      <c r="C50" s="40"/>
      <c r="D50" s="45"/>
      <c r="E50" s="45"/>
      <c r="F50" s="91"/>
      <c r="G50" s="52"/>
      <c r="H50" s="52"/>
      <c r="I50" s="52"/>
      <c r="J50" s="52"/>
      <c r="K50" s="52"/>
      <c r="L50" s="53"/>
      <c r="M50" s="52"/>
      <c r="N50" s="52"/>
      <c r="O50" s="92"/>
      <c r="P50" s="52"/>
      <c r="Q50" s="91"/>
      <c r="R50" s="52"/>
      <c r="S50" s="52"/>
      <c r="T50" s="52"/>
      <c r="U50" s="52"/>
      <c r="V50" s="52"/>
      <c r="W50" s="52"/>
      <c r="X50" s="53"/>
      <c r="Y50" s="92"/>
      <c r="Z50" s="68"/>
    </row>
    <row r="51" spans="1:26" customFormat="1" ht="18" customHeight="1" x14ac:dyDescent="0.25">
      <c r="A51" s="40"/>
      <c r="B51" s="40"/>
      <c r="C51" s="40"/>
      <c r="D51" s="45"/>
      <c r="E51" s="45"/>
      <c r="F51" s="91"/>
      <c r="G51" s="52"/>
      <c r="H51" s="52"/>
      <c r="I51" s="52"/>
      <c r="J51" s="52"/>
      <c r="K51" s="52"/>
      <c r="L51" s="53"/>
      <c r="M51" s="52"/>
      <c r="N51" s="52"/>
      <c r="O51" s="92"/>
      <c r="P51" s="52"/>
      <c r="Q51" s="91"/>
      <c r="R51" s="52"/>
      <c r="S51" s="52"/>
      <c r="T51" s="52"/>
      <c r="U51" s="52"/>
      <c r="V51" s="52"/>
      <c r="W51" s="52"/>
      <c r="X51" s="53"/>
      <c r="Y51" s="92"/>
      <c r="Z51" s="68"/>
    </row>
    <row r="52" spans="1:26" customFormat="1" ht="25.5" customHeight="1" thickBot="1" x14ac:dyDescent="0.3">
      <c r="A52" s="40"/>
      <c r="B52" s="40"/>
      <c r="C52" s="40"/>
      <c r="D52" s="45"/>
      <c r="E52" s="45"/>
      <c r="F52" s="93"/>
      <c r="G52" s="94"/>
      <c r="H52" s="94"/>
      <c r="I52" s="94"/>
      <c r="J52" s="94"/>
      <c r="K52" s="94"/>
      <c r="L52" s="95"/>
      <c r="M52" s="94"/>
      <c r="N52" s="94"/>
      <c r="O52" s="96"/>
      <c r="P52" s="52"/>
      <c r="Q52" s="93"/>
      <c r="R52" s="94"/>
      <c r="S52" s="94"/>
      <c r="T52" s="94"/>
      <c r="U52" s="94"/>
      <c r="V52" s="94"/>
      <c r="W52" s="94"/>
      <c r="X52" s="95"/>
      <c r="Y52" s="96"/>
      <c r="Z52" s="68"/>
    </row>
    <row r="53" spans="1:26" customFormat="1" ht="18" customHeight="1" thickTop="1" thickBot="1" x14ac:dyDescent="0.3">
      <c r="A53" s="40"/>
      <c r="B53" s="40"/>
      <c r="C53" s="40"/>
      <c r="D53" s="45"/>
      <c r="E53" s="45"/>
      <c r="F53" s="47"/>
      <c r="G53" s="47"/>
      <c r="H53" s="47"/>
      <c r="I53" s="47"/>
      <c r="J53" s="48"/>
      <c r="K53" s="48"/>
      <c r="L53" s="48"/>
      <c r="M53" s="48"/>
      <c r="N53" s="48"/>
      <c r="O53" s="48"/>
      <c r="P53" s="85"/>
      <c r="Q53" s="47"/>
      <c r="R53" s="47"/>
      <c r="S53" s="47"/>
      <c r="T53" s="47"/>
      <c r="U53" s="47"/>
      <c r="V53" s="47"/>
      <c r="W53" s="47"/>
      <c r="X53" s="47"/>
      <c r="Y53" s="48"/>
      <c r="Z53" s="68"/>
    </row>
    <row r="54" spans="1:26" customFormat="1" ht="18" customHeight="1" thickTop="1" x14ac:dyDescent="0.25">
      <c r="A54" s="40"/>
      <c r="B54" s="40"/>
      <c r="C54" s="40"/>
      <c r="D54" s="45"/>
      <c r="E54" s="45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68"/>
    </row>
    <row r="55" spans="1:26" customFormat="1" ht="21.75" customHeight="1" x14ac:dyDescent="0.25">
      <c r="A55" s="40"/>
      <c r="B55" s="40"/>
      <c r="C55" s="40"/>
      <c r="D55" s="45"/>
      <c r="E55" s="45"/>
      <c r="F55" s="84" t="str">
        <f>IF('Dashboard Engine'!V25,"DESEMPENHO POR PLANO","DESEMPENHO POR PLANO — SEM DADOS")</f>
        <v>DESEMPENHO POR PLANO</v>
      </c>
      <c r="G55" s="84"/>
      <c r="H55" s="84"/>
      <c r="I55" s="84"/>
      <c r="J55" s="84"/>
      <c r="K55" s="84"/>
      <c r="L55" s="84"/>
      <c r="M55" s="84"/>
      <c r="N55" s="84"/>
      <c r="O55" s="84"/>
      <c r="P55" s="52"/>
      <c r="Q55" s="84" t="str">
        <f>IF('Dashboard Engine'!V26,"EVOLUÇÃO MENSAL","EVOLUÇÃO MENSAL — SEM DADOS")</f>
        <v>EVOLUÇÃO MENSAL</v>
      </c>
      <c r="R55" s="84"/>
      <c r="S55" s="84"/>
      <c r="T55" s="84"/>
      <c r="U55" s="84"/>
      <c r="V55" s="84"/>
      <c r="W55" s="84"/>
      <c r="X55" s="84"/>
      <c r="Y55" s="84"/>
      <c r="Z55" s="68"/>
    </row>
    <row r="56" spans="1:26" customFormat="1" ht="18" customHeight="1" x14ac:dyDescent="0.25">
      <c r="A56" s="40"/>
      <c r="B56" s="40"/>
      <c r="C56" s="40"/>
      <c r="D56" s="45"/>
      <c r="E56" s="45"/>
      <c r="F56" s="7"/>
      <c r="G56" s="7"/>
      <c r="H56" s="7"/>
      <c r="I56" s="7"/>
      <c r="J56" s="7"/>
      <c r="K56" s="7"/>
      <c r="L56" s="7"/>
      <c r="M56" s="51"/>
      <c r="N56" s="51"/>
      <c r="O56" s="51"/>
      <c r="P56" s="85"/>
      <c r="Q56" s="7"/>
      <c r="R56" s="7"/>
      <c r="S56" s="7"/>
      <c r="T56" s="7"/>
      <c r="U56" s="7"/>
      <c r="V56" s="7"/>
      <c r="W56" s="7"/>
      <c r="X56" s="7"/>
      <c r="Y56" s="51"/>
      <c r="Z56" s="68"/>
    </row>
    <row r="57" spans="1:26" customFormat="1" ht="18" customHeight="1" x14ac:dyDescent="0.25">
      <c r="A57" s="40"/>
      <c r="B57" s="40"/>
      <c r="C57" s="40"/>
      <c r="D57" s="45"/>
      <c r="E57" s="45"/>
      <c r="F57" s="52"/>
      <c r="G57" s="52"/>
      <c r="H57" s="52"/>
      <c r="I57" s="52"/>
      <c r="J57" s="52"/>
      <c r="K57" s="52"/>
      <c r="L57" s="53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3"/>
      <c r="Y57" s="52"/>
      <c r="Z57" s="68"/>
    </row>
    <row r="58" spans="1:26" customFormat="1" ht="18" customHeight="1" x14ac:dyDescent="0.25">
      <c r="A58" s="40"/>
      <c r="B58" s="40"/>
      <c r="C58" s="40"/>
      <c r="D58" s="45"/>
      <c r="E58" s="45"/>
      <c r="F58" s="52"/>
      <c r="G58" s="52"/>
      <c r="H58" s="52"/>
      <c r="I58" s="52"/>
      <c r="J58" s="52"/>
      <c r="K58" s="52"/>
      <c r="L58" s="53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3"/>
      <c r="Y58" s="52"/>
      <c r="Z58" s="68"/>
    </row>
    <row r="59" spans="1:26" customFormat="1" ht="18" customHeight="1" x14ac:dyDescent="0.25">
      <c r="A59" s="40"/>
      <c r="B59" s="40"/>
      <c r="C59" s="40"/>
      <c r="D59" s="45"/>
      <c r="E59" s="45"/>
      <c r="F59" s="52"/>
      <c r="G59" s="52"/>
      <c r="H59" s="52"/>
      <c r="I59" s="52"/>
      <c r="J59" s="52"/>
      <c r="K59" s="52"/>
      <c r="L59" s="53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3"/>
      <c r="Y59" s="52"/>
      <c r="Z59" s="68"/>
    </row>
    <row r="60" spans="1:26" customFormat="1" ht="18" customHeight="1" x14ac:dyDescent="0.25">
      <c r="A60" s="40"/>
      <c r="B60" s="40"/>
      <c r="C60" s="40"/>
      <c r="D60" s="45"/>
      <c r="E60" s="45"/>
      <c r="F60" s="52"/>
      <c r="G60" s="52"/>
      <c r="H60" s="52"/>
      <c r="I60" s="52"/>
      <c r="J60" s="52"/>
      <c r="K60" s="52"/>
      <c r="L60" s="53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52"/>
      <c r="Z60" s="68"/>
    </row>
    <row r="61" spans="1:26" customFormat="1" ht="18" customHeight="1" x14ac:dyDescent="0.25">
      <c r="A61" s="40"/>
      <c r="B61" s="40"/>
      <c r="C61" s="40"/>
      <c r="D61" s="45"/>
      <c r="E61" s="45"/>
      <c r="F61" s="52"/>
      <c r="G61" s="52"/>
      <c r="H61" s="52"/>
      <c r="I61" s="52"/>
      <c r="J61" s="52"/>
      <c r="K61" s="52"/>
      <c r="L61" s="53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3"/>
      <c r="Y61" s="52"/>
      <c r="Z61" s="68"/>
    </row>
    <row r="62" spans="1:26" customFormat="1" ht="18" customHeight="1" x14ac:dyDescent="0.25">
      <c r="A62" s="40"/>
      <c r="B62" s="40"/>
      <c r="C62" s="40"/>
      <c r="D62" s="45"/>
      <c r="E62" s="45"/>
      <c r="F62" s="52"/>
      <c r="G62" s="52"/>
      <c r="H62" s="52"/>
      <c r="I62" s="52"/>
      <c r="J62" s="52"/>
      <c r="K62" s="52"/>
      <c r="L62" s="53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3"/>
      <c r="Y62" s="52"/>
      <c r="Z62" s="68"/>
    </row>
    <row r="63" spans="1:26" customFormat="1" ht="18" customHeight="1" x14ac:dyDescent="0.25">
      <c r="A63" s="40"/>
      <c r="B63" s="40"/>
      <c r="C63" s="40"/>
      <c r="D63" s="45"/>
      <c r="E63" s="45"/>
      <c r="F63" s="52"/>
      <c r="G63" s="52"/>
      <c r="H63" s="52"/>
      <c r="I63" s="52"/>
      <c r="J63" s="52"/>
      <c r="K63" s="52"/>
      <c r="L63" s="53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3"/>
      <c r="Y63" s="52"/>
      <c r="Z63" s="68"/>
    </row>
    <row r="64" spans="1:26" customFormat="1" ht="18" customHeight="1" x14ac:dyDescent="0.25">
      <c r="A64" s="40"/>
      <c r="B64" s="40"/>
      <c r="C64" s="40"/>
      <c r="D64" s="45"/>
      <c r="E64" s="45"/>
      <c r="F64" s="52"/>
      <c r="G64" s="52"/>
      <c r="H64" s="52"/>
      <c r="I64" s="52"/>
      <c r="J64" s="52"/>
      <c r="K64" s="52"/>
      <c r="L64" s="53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3"/>
      <c r="Y64" s="52"/>
      <c r="Z64" s="68"/>
    </row>
    <row r="65" spans="1:26" customFormat="1" ht="18" customHeight="1" x14ac:dyDescent="0.25">
      <c r="A65" s="40"/>
      <c r="B65" s="40"/>
      <c r="C65" s="40"/>
      <c r="D65" s="45"/>
      <c r="E65" s="45"/>
      <c r="F65" s="52"/>
      <c r="G65" s="52"/>
      <c r="H65" s="52"/>
      <c r="I65" s="52"/>
      <c r="J65" s="52"/>
      <c r="K65" s="52"/>
      <c r="L65" s="53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3"/>
      <c r="Y65" s="52"/>
      <c r="Z65" s="68"/>
    </row>
    <row r="66" spans="1:26" customFormat="1" ht="18" customHeight="1" x14ac:dyDescent="0.25">
      <c r="A66" s="40"/>
      <c r="B66" s="40"/>
      <c r="C66" s="40"/>
      <c r="D66" s="45"/>
      <c r="E66" s="45"/>
      <c r="F66" s="52"/>
      <c r="G66" s="52"/>
      <c r="H66" s="52"/>
      <c r="I66" s="52"/>
      <c r="J66" s="52"/>
      <c r="K66" s="52"/>
      <c r="L66" s="53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52"/>
      <c r="Z66" s="68"/>
    </row>
    <row r="67" spans="1:26" customFormat="1" ht="18" customHeight="1" x14ac:dyDescent="0.25">
      <c r="A67" s="40"/>
      <c r="B67" s="40"/>
      <c r="C67" s="40"/>
      <c r="D67" s="45"/>
      <c r="E67" s="45"/>
      <c r="F67" s="52"/>
      <c r="G67" s="52"/>
      <c r="H67" s="52"/>
      <c r="I67" s="52"/>
      <c r="J67" s="52"/>
      <c r="K67" s="52"/>
      <c r="L67" s="53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3"/>
      <c r="Y67" s="52"/>
      <c r="Z67" s="68"/>
    </row>
    <row r="68" spans="1:26" customFormat="1" ht="18" customHeight="1" x14ac:dyDescent="0.25">
      <c r="A68" s="40"/>
      <c r="B68" s="40"/>
      <c r="C68" s="40"/>
      <c r="D68" s="45"/>
      <c r="E68" s="45"/>
      <c r="F68" s="52"/>
      <c r="G68" s="52"/>
      <c r="H68" s="52"/>
      <c r="I68" s="52"/>
      <c r="J68" s="52"/>
      <c r="K68" s="52"/>
      <c r="L68" s="53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3"/>
      <c r="Y68" s="52"/>
      <c r="Z68" s="68"/>
    </row>
    <row r="69" spans="1:26" customFormat="1" ht="18" customHeight="1" x14ac:dyDescent="0.25">
      <c r="A69" s="40"/>
      <c r="B69" s="40"/>
      <c r="C69" s="40"/>
      <c r="D69" s="45"/>
      <c r="E69" s="45"/>
      <c r="F69" s="52"/>
      <c r="G69" s="52"/>
      <c r="H69" s="52"/>
      <c r="I69" s="52"/>
      <c r="J69" s="52"/>
      <c r="K69" s="52"/>
      <c r="L69" s="53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3"/>
      <c r="Y69" s="52"/>
      <c r="Z69" s="68"/>
    </row>
    <row r="70" spans="1:26" customFormat="1" ht="18" customHeight="1" x14ac:dyDescent="0.25">
      <c r="A70" s="40"/>
      <c r="B70" s="40"/>
      <c r="C70" s="40"/>
      <c r="D70" s="45"/>
      <c r="E70" s="45"/>
      <c r="F70" s="52"/>
      <c r="G70" s="52"/>
      <c r="H70" s="52"/>
      <c r="I70" s="52"/>
      <c r="J70" s="52"/>
      <c r="K70" s="52"/>
      <c r="L70" s="53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3"/>
      <c r="Y70" s="52"/>
      <c r="Z70" s="68"/>
    </row>
    <row r="71" spans="1:26" customFormat="1" ht="18" customHeight="1" x14ac:dyDescent="0.25">
      <c r="A71" s="40"/>
      <c r="B71" s="40"/>
      <c r="C71" s="40"/>
      <c r="D71" s="45"/>
      <c r="E71" s="45"/>
      <c r="F71" s="54"/>
      <c r="G71" s="54"/>
      <c r="H71" s="54"/>
      <c r="I71" s="54"/>
      <c r="J71" s="54"/>
      <c r="K71" s="54"/>
      <c r="L71" s="55"/>
      <c r="M71" s="52"/>
      <c r="N71" s="52"/>
      <c r="O71" s="52"/>
      <c r="P71" s="52"/>
      <c r="Q71" s="54"/>
      <c r="R71" s="54"/>
      <c r="S71" s="54"/>
      <c r="T71" s="54"/>
      <c r="U71" s="54"/>
      <c r="V71" s="54"/>
      <c r="W71" s="54"/>
      <c r="X71" s="55"/>
      <c r="Y71" s="52"/>
      <c r="Z71" s="68"/>
    </row>
    <row r="72" spans="1:26" customFormat="1" ht="18" customHeight="1" thickBot="1" x14ac:dyDescent="0.3">
      <c r="A72" s="40"/>
      <c r="B72" s="40"/>
      <c r="C72" s="40"/>
      <c r="D72" s="45"/>
      <c r="E72" s="45"/>
      <c r="F72" s="47"/>
      <c r="G72" s="47"/>
      <c r="H72" s="47"/>
      <c r="I72" s="47"/>
      <c r="J72" s="48"/>
      <c r="K72" s="48"/>
      <c r="L72" s="48"/>
      <c r="M72" s="48"/>
      <c r="N72" s="48"/>
      <c r="O72" s="48"/>
      <c r="P72" s="48"/>
      <c r="Q72" s="47"/>
      <c r="R72" s="47"/>
      <c r="S72" s="47"/>
      <c r="T72" s="47"/>
      <c r="U72" s="47"/>
      <c r="V72" s="47"/>
      <c r="W72" s="47"/>
      <c r="X72" s="47"/>
      <c r="Y72" s="48"/>
      <c r="Z72" s="68"/>
    </row>
    <row r="73" spans="1:26" customFormat="1" ht="18" customHeight="1" thickTop="1" thickBot="1" x14ac:dyDescent="0.3">
      <c r="A73" s="40"/>
      <c r="B73" s="40"/>
      <c r="C73" s="40"/>
      <c r="D73" s="45"/>
      <c r="E73" s="45"/>
      <c r="F73" s="66"/>
      <c r="G73" s="66"/>
      <c r="H73" s="66"/>
      <c r="I73" s="66"/>
      <c r="J73" s="85"/>
      <c r="K73" s="85"/>
      <c r="L73" s="85"/>
      <c r="M73" s="85"/>
      <c r="N73" s="85"/>
      <c r="O73" s="85"/>
      <c r="P73" s="85"/>
      <c r="Q73" s="66"/>
      <c r="R73" s="66"/>
      <c r="S73" s="66"/>
      <c r="T73" s="66"/>
      <c r="U73" s="66"/>
      <c r="V73" s="66"/>
      <c r="W73" s="66"/>
      <c r="X73" s="66"/>
      <c r="Y73" s="85"/>
      <c r="Z73" s="68"/>
    </row>
    <row r="74" spans="1:26" customFormat="1" ht="18" customHeight="1" thickTop="1" x14ac:dyDescent="0.25">
      <c r="A74" s="40"/>
      <c r="B74" s="40"/>
      <c r="C74" s="40"/>
      <c r="D74" s="45"/>
      <c r="E74" s="45"/>
      <c r="F74" s="97" t="s">
        <v>414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9"/>
      <c r="Z74" s="68"/>
    </row>
    <row r="75" spans="1:26" customFormat="1" ht="18" customHeight="1" x14ac:dyDescent="0.25">
      <c r="A75" s="40"/>
      <c r="B75" s="40"/>
      <c r="C75" s="40"/>
      <c r="D75" s="45"/>
      <c r="E75" s="45"/>
      <c r="F75" s="100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2"/>
      <c r="Z75" s="68"/>
    </row>
    <row r="76" spans="1:26" customFormat="1" ht="18" customHeight="1" x14ac:dyDescent="0.25">
      <c r="A76" s="40"/>
      <c r="B76" s="40"/>
      <c r="C76" s="40"/>
      <c r="D76" s="45"/>
      <c r="E76" s="45"/>
      <c r="F76" s="91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3"/>
      <c r="Y76" s="92"/>
      <c r="Z76" s="68"/>
    </row>
    <row r="77" spans="1:26" customFormat="1" ht="18" customHeight="1" x14ac:dyDescent="0.25">
      <c r="A77" s="40"/>
      <c r="B77" s="40"/>
      <c r="C77" s="40"/>
      <c r="D77" s="45"/>
      <c r="E77" s="45"/>
      <c r="F77" s="91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3"/>
      <c r="Y77" s="92"/>
      <c r="Z77" s="68"/>
    </row>
    <row r="78" spans="1:26" customFormat="1" ht="18" customHeight="1" x14ac:dyDescent="0.25">
      <c r="A78" s="40"/>
      <c r="B78" s="40"/>
      <c r="C78" s="40"/>
      <c r="D78" s="45"/>
      <c r="E78" s="45"/>
      <c r="F78" s="91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92"/>
      <c r="Z78" s="68"/>
    </row>
    <row r="79" spans="1:26" customFormat="1" ht="18" customHeight="1" x14ac:dyDescent="0.25">
      <c r="A79" s="40"/>
      <c r="B79" s="40"/>
      <c r="C79" s="40"/>
      <c r="D79" s="45"/>
      <c r="E79" s="45"/>
      <c r="F79" s="91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3"/>
      <c r="Y79" s="92"/>
      <c r="Z79" s="68"/>
    </row>
    <row r="80" spans="1:26" customFormat="1" ht="18" customHeight="1" x14ac:dyDescent="0.25">
      <c r="A80" s="40"/>
      <c r="B80" s="40"/>
      <c r="C80" s="40"/>
      <c r="D80" s="45"/>
      <c r="E80" s="45"/>
      <c r="F80" s="91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3"/>
      <c r="Y80" s="92"/>
      <c r="Z80" s="68"/>
    </row>
    <row r="81" spans="1:26" customFormat="1" ht="18" customHeight="1" x14ac:dyDescent="0.25">
      <c r="A81" s="40"/>
      <c r="B81" s="40"/>
      <c r="C81" s="40"/>
      <c r="D81" s="45"/>
      <c r="E81" s="45"/>
      <c r="F81" s="91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3"/>
      <c r="Y81" s="92"/>
      <c r="Z81" s="68"/>
    </row>
    <row r="82" spans="1:26" customFormat="1" ht="18" customHeight="1" x14ac:dyDescent="0.25">
      <c r="A82" s="40"/>
      <c r="B82" s="40"/>
      <c r="C82" s="40"/>
      <c r="D82" s="45"/>
      <c r="E82" s="45"/>
      <c r="F82" s="91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3"/>
      <c r="Y82" s="92"/>
      <c r="Z82" s="68"/>
    </row>
    <row r="83" spans="1:26" customFormat="1" ht="18" customHeight="1" x14ac:dyDescent="0.25">
      <c r="A83" s="40"/>
      <c r="B83" s="40"/>
      <c r="C83" s="40"/>
      <c r="D83" s="45"/>
      <c r="E83" s="45"/>
      <c r="F83" s="91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3"/>
      <c r="Y83" s="92"/>
      <c r="Z83" s="68"/>
    </row>
    <row r="84" spans="1:26" customFormat="1" ht="18" customHeight="1" x14ac:dyDescent="0.25">
      <c r="A84" s="40"/>
      <c r="B84" s="40"/>
      <c r="C84" s="40"/>
      <c r="D84" s="45"/>
      <c r="E84" s="45"/>
      <c r="F84" s="91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3"/>
      <c r="Y84" s="92"/>
      <c r="Z84" s="68"/>
    </row>
    <row r="85" spans="1:26" customFormat="1" ht="18" customHeight="1" x14ac:dyDescent="0.25">
      <c r="A85" s="40"/>
      <c r="B85" s="40"/>
      <c r="C85" s="40"/>
      <c r="D85" s="45"/>
      <c r="E85" s="45"/>
      <c r="F85" s="91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3"/>
      <c r="Y85" s="92"/>
      <c r="Z85" s="68"/>
    </row>
    <row r="86" spans="1:26" customFormat="1" ht="18" customHeight="1" x14ac:dyDescent="0.25">
      <c r="A86" s="40"/>
      <c r="B86" s="40"/>
      <c r="C86" s="40"/>
      <c r="D86" s="45"/>
      <c r="E86" s="45"/>
      <c r="F86" s="91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3"/>
      <c r="Y86" s="92"/>
      <c r="Z86" s="68"/>
    </row>
    <row r="87" spans="1:26" customFormat="1" ht="18" customHeight="1" x14ac:dyDescent="0.25">
      <c r="A87" s="40"/>
      <c r="B87" s="40"/>
      <c r="C87" s="40"/>
      <c r="D87" s="45"/>
      <c r="E87" s="45"/>
      <c r="F87" s="91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3"/>
      <c r="Y87" s="92"/>
      <c r="Z87" s="68"/>
    </row>
    <row r="88" spans="1:26" customFormat="1" ht="18" customHeight="1" x14ac:dyDescent="0.25">
      <c r="A88" s="40"/>
      <c r="B88" s="40"/>
      <c r="C88" s="40"/>
      <c r="D88" s="45"/>
      <c r="E88" s="45"/>
      <c r="F88" s="91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3"/>
      <c r="Y88" s="92"/>
      <c r="Z88" s="68"/>
    </row>
    <row r="89" spans="1:26" customFormat="1" ht="18" customHeight="1" x14ac:dyDescent="0.25">
      <c r="A89" s="40"/>
      <c r="B89" s="40"/>
      <c r="C89" s="40"/>
      <c r="D89" s="45"/>
      <c r="E89" s="45"/>
      <c r="F89" s="91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3"/>
      <c r="Y89" s="92"/>
      <c r="Z89" s="68"/>
    </row>
    <row r="90" spans="1:26" customFormat="1" ht="21.75" customHeight="1" thickBot="1" x14ac:dyDescent="0.3">
      <c r="A90" s="40"/>
      <c r="B90" s="40"/>
      <c r="C90" s="40"/>
      <c r="D90" s="45"/>
      <c r="E90" s="45"/>
      <c r="F90" s="93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5"/>
      <c r="Y90" s="96"/>
      <c r="Z90" s="68"/>
    </row>
    <row r="91" spans="1:26" customFormat="1" ht="18" customHeight="1" thickTop="1" x14ac:dyDescent="0.25">
      <c r="A91" s="40"/>
      <c r="B91" s="40"/>
      <c r="C91" s="40"/>
      <c r="D91" s="45"/>
      <c r="E91" s="45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2"/>
      <c r="Q91" s="54"/>
      <c r="R91" s="54"/>
      <c r="S91" s="54"/>
      <c r="T91" s="54"/>
      <c r="U91" s="54"/>
      <c r="V91" s="54"/>
      <c r="W91" s="54"/>
      <c r="X91" s="55"/>
      <c r="Y91" s="52"/>
      <c r="Z91" s="68"/>
    </row>
  </sheetData>
  <mergeCells count="30">
    <mergeCell ref="A1:C6"/>
    <mergeCell ref="F72:I72"/>
    <mergeCell ref="Q72:T72"/>
    <mergeCell ref="U72:X72"/>
    <mergeCell ref="F74:Y75"/>
    <mergeCell ref="A23:C25"/>
    <mergeCell ref="A26:C27"/>
    <mergeCell ref="F53:I53"/>
    <mergeCell ref="Q53:T53"/>
    <mergeCell ref="U53:X53"/>
    <mergeCell ref="F55:O55"/>
    <mergeCell ref="Q55:Y55"/>
    <mergeCell ref="F34:I34"/>
    <mergeCell ref="Q34:T34"/>
    <mergeCell ref="U34:X34"/>
    <mergeCell ref="F16:O16"/>
    <mergeCell ref="Q16:Y16"/>
    <mergeCell ref="A20:C22"/>
    <mergeCell ref="A17:C19"/>
    <mergeCell ref="A10:C13"/>
    <mergeCell ref="A8:C9"/>
    <mergeCell ref="A14:C16"/>
    <mergeCell ref="U13:X13"/>
    <mergeCell ref="Q38:X38"/>
    <mergeCell ref="F13:I13"/>
    <mergeCell ref="F4:R5"/>
    <mergeCell ref="S4:X5"/>
    <mergeCell ref="U9:X10"/>
    <mergeCell ref="Q13:T13"/>
    <mergeCell ref="Q9:T10"/>
  </mergeCells>
  <dataValidations count="1">
    <dataValidation type="list" allowBlank="1" showInputMessage="1" showErrorMessage="1" promptTitle="Período de análise" prompt="Escolha o ano, semestre ou trimestre." sqref="A17" xr:uid="{AC6FD177-138F-4497-A55E-19C94462240B}">
      <formula1>QuickPeriods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A0C5-4223-4A61-86A8-F0B6F917C8B7}">
  <dimension ref="A1:AH32"/>
  <sheetViews>
    <sheetView workbookViewId="0"/>
  </sheetViews>
  <sheetFormatPr defaultRowHeight="15" x14ac:dyDescent="0.25"/>
  <cols>
    <col min="1" max="1" width="13.85546875" bestFit="1" customWidth="1"/>
    <col min="2" max="2" width="12.28515625" bestFit="1" customWidth="1"/>
    <col min="4" max="4" width="16.42578125" bestFit="1" customWidth="1"/>
    <col min="5" max="5" width="12.28515625" bestFit="1" customWidth="1"/>
    <col min="7" max="7" width="9" bestFit="1" customWidth="1"/>
    <col min="8" max="8" width="12.28515625" bestFit="1" customWidth="1"/>
    <col min="9" max="9" width="13.5703125" bestFit="1" customWidth="1"/>
    <col min="10" max="10" width="10.42578125" bestFit="1" customWidth="1"/>
    <col min="11" max="11" width="12.28515625" bestFit="1" customWidth="1"/>
    <col min="13" max="13" width="9" bestFit="1" customWidth="1"/>
    <col min="14" max="14" width="8.140625" bestFit="1" customWidth="1"/>
  </cols>
  <sheetData>
    <row r="1" spans="1:34" x14ac:dyDescent="0.25">
      <c r="A1" t="s">
        <v>352</v>
      </c>
      <c r="B1" t="s">
        <v>353</v>
      </c>
      <c r="D1" t="s">
        <v>324</v>
      </c>
      <c r="E1" t="s">
        <v>362</v>
      </c>
      <c r="F1" t="s">
        <v>398</v>
      </c>
      <c r="I1" t="s">
        <v>366</v>
      </c>
      <c r="J1" s="37" t="e">
        <f>D̳ashboard!#REF!</f>
        <v>#REF!</v>
      </c>
      <c r="X1">
        <f>IFERROR(GETPIVOTDATA("Soma de Total Value",'Pivot Engine'!$A$5),-1)</f>
        <v>7633</v>
      </c>
      <c r="Z1" t="s">
        <v>401</v>
      </c>
      <c r="AA1" t="s">
        <v>352</v>
      </c>
      <c r="AB1" t="s">
        <v>409</v>
      </c>
      <c r="AC1" t="s">
        <v>410</v>
      </c>
      <c r="AD1" t="s">
        <v>368</v>
      </c>
      <c r="AE1" t="s">
        <v>369</v>
      </c>
      <c r="AG1" t="s">
        <v>411</v>
      </c>
      <c r="AH1" t="s">
        <v>399</v>
      </c>
    </row>
    <row r="2" spans="1:34" x14ac:dyDescent="0.25">
      <c r="A2" t="s">
        <v>354</v>
      </c>
      <c r="D2" t="s">
        <v>363</v>
      </c>
      <c r="E2" s="12">
        <f>SUMIFS('Pivot Engine'!$G:$G,'Pivot Engine'!$A:$A,"&gt;="&amp;$AH$3,'Pivot Engine'!$A:$A,"&lt;"&amp;$AH$4)</f>
        <v>3277</v>
      </c>
      <c r="F2" s="12">
        <f>SUMIFS('Pivot Engine'!$G:$G,'Pivot Engine'!$A:$A,"&gt;="&amp;_xlfn.XLOOKUP($AH$2,$AA$2:$AA$8,$AD$2:$AD$8),'Pivot Engine'!$A:$A,"&lt;"&amp;_xlfn.XLOOKUP($AH$2,$AA$2:$AA$8,$AE$2:$AE$8))</f>
        <v>0</v>
      </c>
      <c r="G2" s="14" t="str">
        <f>IF(OR(F2="",F2=0),"",E2/F2-1)</f>
        <v/>
      </c>
      <c r="I2" t="s">
        <v>367</v>
      </c>
      <c r="J2" s="37" t="e">
        <f>EDATE(D̳ashboard!#REF!,1)</f>
        <v>#REF!</v>
      </c>
      <c r="X2">
        <f>IFERROR(GETPIVOTDATA("Contagem de Subscriber ID",'Pivot Engine'!$A$5),-1)</f>
        <v>295</v>
      </c>
      <c r="Z2" t="s">
        <v>402</v>
      </c>
      <c r="AA2" t="s">
        <v>402</v>
      </c>
      <c r="AB2" s="37">
        <v>45292</v>
      </c>
      <c r="AC2" s="37">
        <v>45658</v>
      </c>
      <c r="AD2" s="37">
        <v>44927</v>
      </c>
      <c r="AE2" s="37">
        <v>45292</v>
      </c>
      <c r="AG2" t="s">
        <v>412</v>
      </c>
      <c r="AH2" t="str">
        <f>D̳ashboard!$A$17</f>
        <v>1º semestre</v>
      </c>
    </row>
    <row r="3" spans="1:34" x14ac:dyDescent="0.25">
      <c r="A3" s="36">
        <v>45292</v>
      </c>
      <c r="B3" s="13">
        <v>45292</v>
      </c>
      <c r="D3" t="s">
        <v>333</v>
      </c>
      <c r="E3" s="38">
        <f>SUMIFS('Pivot Engine'!$H:$H,'Pivot Engine'!$A:$A,"&gt;="&amp;$AH$3,'Pivot Engine'!$A:$A,"&lt;"&amp;$AH$4)</f>
        <v>126</v>
      </c>
      <c r="F3" s="38">
        <f>SUMIFS('Pivot Engine'!$H:$H,'Pivot Engine'!$A:$A,"&gt;="&amp;_xlfn.XLOOKUP($AH$2,$AA$2:$AA$8,$AD$2:$AD$8),'Pivot Engine'!$A:$A,"&lt;"&amp;_xlfn.XLOOKUP($AH$2,$AA$2:$AA$8,$AE$2:$AE$8))</f>
        <v>0</v>
      </c>
      <c r="G3" s="14" t="str">
        <f>IF(OR(F3="",F3=0),"",E3/F3-1)</f>
        <v/>
      </c>
      <c r="I3" t="s">
        <v>383</v>
      </c>
      <c r="J3" s="37" t="e">
        <f>DATEDIF(J1,J2,"m")</f>
        <v>#REF!</v>
      </c>
      <c r="X3">
        <f>IFERROR(GETPIVOTDATA("Soma de Coupon Value",'Pivot Engine'!$A$5),-1)</f>
        <v>2122</v>
      </c>
      <c r="Z3" t="s">
        <v>403</v>
      </c>
      <c r="AA3" t="s">
        <v>403</v>
      </c>
      <c r="AB3" s="37">
        <v>45292</v>
      </c>
      <c r="AC3" s="37">
        <v>45474</v>
      </c>
      <c r="AD3" s="37">
        <v>45108</v>
      </c>
      <c r="AE3" s="37">
        <v>45292</v>
      </c>
      <c r="AG3" t="s">
        <v>409</v>
      </c>
      <c r="AH3" s="37">
        <f>_xlfn.XLOOKUP(AH2,$AA$2:$AA$8,$AB$2:$AB$8)</f>
        <v>45292</v>
      </c>
    </row>
    <row r="4" spans="1:34" x14ac:dyDescent="0.25">
      <c r="A4" t="s">
        <v>355</v>
      </c>
      <c r="B4" s="13">
        <v>45323</v>
      </c>
      <c r="D4" t="s">
        <v>364</v>
      </c>
      <c r="E4" s="12">
        <f>SUMIFS('Pivot Engine'!$I:$I,'Pivot Engine'!$A:$A,"&gt;="&amp;$AH$3,'Pivot Engine'!$A:$A,"&lt;"&amp;$AH$4)</f>
        <v>898</v>
      </c>
      <c r="F4" s="12">
        <f>SUMIFS('Pivot Engine'!$I:$I,'Pivot Engine'!$A:$A,"&gt;="&amp;_xlfn.XLOOKUP($AH$2,$AA$2:$AA$8,$AD$2:$AD$8),'Pivot Engine'!$A:$A,"&lt;"&amp;_xlfn.XLOOKUP($AH$2,$AA$2:$AA$8,$AE$2:$AE$8))</f>
        <v>0</v>
      </c>
      <c r="G4" s="14" t="str">
        <f>IF(OR(F4="",F4=0),"",E4/F4-1)</f>
        <v/>
      </c>
      <c r="I4" t="s">
        <v>368</v>
      </c>
      <c r="J4" s="37" t="e">
        <f>EDATE(J1,-J3)</f>
        <v>#REF!</v>
      </c>
      <c r="X4">
        <f>IFERROR(GETPIVOTDATA("Soma de Total Value",'Pivot Engine'!$A$5,"Plan","Core"),-1)</f>
        <v>-1</v>
      </c>
      <c r="Z4" t="s">
        <v>404</v>
      </c>
      <c r="AA4" t="s">
        <v>404</v>
      </c>
      <c r="AB4" s="37">
        <v>45474</v>
      </c>
      <c r="AC4" s="37">
        <v>45658</v>
      </c>
      <c r="AD4" s="37">
        <v>45292</v>
      </c>
      <c r="AE4" s="37">
        <v>45474</v>
      </c>
      <c r="AG4" t="s">
        <v>410</v>
      </c>
      <c r="AH4" s="37">
        <f>_xlfn.XLOOKUP(AH2,$AA$2:$AA$8,$AC$2:$AC$8)</f>
        <v>45474</v>
      </c>
    </row>
    <row r="5" spans="1:34" x14ac:dyDescent="0.25">
      <c r="A5" s="36">
        <v>45352</v>
      </c>
      <c r="B5" s="13">
        <v>45352</v>
      </c>
      <c r="D5" t="s">
        <v>365</v>
      </c>
      <c r="E5" s="14">
        <f>IFERROR(SUMIFS('Pivot Engine'!$G:$G,'Pivot Engine'!$A:$A,"&gt;="&amp;$AH$3,'Pivot Engine'!$A:$A,"&lt;"&amp;$AH$4,'Pivot Engine'!$D:$D,"Annual",'Pivot Engine'!$C:$C,"Yes")/SUMIFS('Pivot Engine'!$G:$G,'Pivot Engine'!$A:$A,"&gt;="&amp;$AH$3,'Pivot Engine'!$A:$A,"&lt;"&amp;$AH$4,'Pivot Engine'!$D:$D,"Annual"),0)</f>
        <v>0.661993769470405</v>
      </c>
      <c r="F5" s="14" t="str">
        <f>IFERROR(SUMIFS('Pivot Engine'!$G:$G,'Pivot Engine'!$A:$A,"&gt;="&amp;_xlfn.XLOOKUP($AH$2,$AA$2:$AA$8,$AD$2:$AD$8),'Pivot Engine'!$A:$A,"&lt;"&amp;_xlfn.XLOOKUP($AH$2,$AA$2:$AA$8,$AE$2:$AE$8),'Pivot Engine'!$D:$D,"Annual",'Pivot Engine'!$C:$C,"Yes")/SUMIFS('Pivot Engine'!$G:$G,'Pivot Engine'!$A:$A,"&gt;="&amp;_xlfn.XLOOKUP($AH$2,$AA$2:$AA$8,$AD$2:$AD$8),'Pivot Engine'!$A:$A,"&lt;"&amp;_xlfn.XLOOKUP($AH$2,$AA$2:$AA$8,$AE$2:$AE$8),'Pivot Engine'!$D:$D,"Annual"),"")</f>
        <v/>
      </c>
      <c r="G5" s="14" t="str">
        <f>IF(OR(F5="",F5=0),"",E5/F5-1)</f>
        <v/>
      </c>
      <c r="I5" t="s">
        <v>369</v>
      </c>
      <c r="J5" s="37" t="e">
        <f>J1</f>
        <v>#REF!</v>
      </c>
      <c r="X5">
        <f>IFERROR(GETPIVOTDATA("Soma de EA Play Season Pass Price",'Pivot Engine'!$A$5),-1)</f>
        <v>-1</v>
      </c>
      <c r="Z5" t="s">
        <v>405</v>
      </c>
      <c r="AA5" t="s">
        <v>405</v>
      </c>
      <c r="AB5" s="37">
        <v>45292</v>
      </c>
      <c r="AC5" s="37">
        <v>45383</v>
      </c>
      <c r="AD5" s="37">
        <v>45200</v>
      </c>
      <c r="AE5" s="37">
        <v>45292</v>
      </c>
      <c r="AG5" t="s">
        <v>413</v>
      </c>
      <c r="AH5">
        <f>DATEDIF(AH3,AH4,"m")</f>
        <v>6</v>
      </c>
    </row>
    <row r="6" spans="1:34" x14ac:dyDescent="0.25">
      <c r="A6" t="s">
        <v>356</v>
      </c>
      <c r="B6" s="13">
        <v>45383</v>
      </c>
      <c r="I6" t="s">
        <v>384</v>
      </c>
      <c r="J6" t="e">
        <f>D̳ashboard!#REF!&gt;=D̳ashboard!#REF!</f>
        <v>#REF!</v>
      </c>
      <c r="Z6" t="s">
        <v>406</v>
      </c>
      <c r="AA6" t="s">
        <v>406</v>
      </c>
      <c r="AB6" s="37">
        <v>45383</v>
      </c>
      <c r="AC6" s="37">
        <v>45474</v>
      </c>
      <c r="AD6" s="37">
        <v>45292</v>
      </c>
      <c r="AE6" s="37">
        <v>45383</v>
      </c>
    </row>
    <row r="7" spans="1:34" x14ac:dyDescent="0.25">
      <c r="A7" t="s">
        <v>357</v>
      </c>
      <c r="B7" s="13">
        <v>45413</v>
      </c>
      <c r="Z7" t="s">
        <v>407</v>
      </c>
      <c r="AA7" t="s">
        <v>407</v>
      </c>
      <c r="AB7" s="37">
        <v>45474</v>
      </c>
      <c r="AC7" s="37">
        <v>45566</v>
      </c>
      <c r="AD7" s="37">
        <v>45383</v>
      </c>
      <c r="AE7" s="37">
        <v>45474</v>
      </c>
    </row>
    <row r="8" spans="1:34" x14ac:dyDescent="0.25">
      <c r="A8" s="36">
        <v>45444</v>
      </c>
      <c r="B8" s="13">
        <v>45444</v>
      </c>
      <c r="Z8" t="s">
        <v>408</v>
      </c>
      <c r="AA8" t="s">
        <v>408</v>
      </c>
      <c r="AB8" s="37">
        <v>45566</v>
      </c>
      <c r="AC8" s="37">
        <v>45658</v>
      </c>
      <c r="AD8" s="37">
        <v>45474</v>
      </c>
      <c r="AE8" s="37">
        <v>45566</v>
      </c>
    </row>
    <row r="9" spans="1:34" x14ac:dyDescent="0.25">
      <c r="A9" s="36">
        <v>45474</v>
      </c>
      <c r="B9" s="13">
        <v>45474</v>
      </c>
    </row>
    <row r="10" spans="1:34" x14ac:dyDescent="0.25">
      <c r="A10" t="s">
        <v>358</v>
      </c>
      <c r="B10" s="13">
        <v>45505</v>
      </c>
    </row>
    <row r="11" spans="1:34" x14ac:dyDescent="0.25">
      <c r="A11" t="s">
        <v>359</v>
      </c>
      <c r="B11" s="13">
        <v>45536</v>
      </c>
    </row>
    <row r="12" spans="1:34" x14ac:dyDescent="0.25">
      <c r="A12" t="s">
        <v>360</v>
      </c>
      <c r="B12" s="13">
        <v>45566</v>
      </c>
    </row>
    <row r="13" spans="1:34" x14ac:dyDescent="0.25">
      <c r="A13" s="36">
        <v>45597</v>
      </c>
      <c r="B13" s="13">
        <v>45597</v>
      </c>
    </row>
    <row r="14" spans="1:34" x14ac:dyDescent="0.25">
      <c r="A14" t="s">
        <v>361</v>
      </c>
      <c r="B14" s="13">
        <v>45627</v>
      </c>
    </row>
    <row r="20" spans="1:22" x14ac:dyDescent="0.25">
      <c r="A20" t="s">
        <v>370</v>
      </c>
      <c r="B20" t="s">
        <v>327</v>
      </c>
      <c r="D20" t="s">
        <v>373</v>
      </c>
      <c r="E20" t="s">
        <v>327</v>
      </c>
      <c r="G20" t="s">
        <v>332</v>
      </c>
      <c r="H20" t="s">
        <v>327</v>
      </c>
      <c r="J20" t="s">
        <v>338</v>
      </c>
      <c r="K20" t="s">
        <v>327</v>
      </c>
      <c r="L20" t="s">
        <v>389</v>
      </c>
      <c r="M20" t="s">
        <v>332</v>
      </c>
      <c r="N20" t="s">
        <v>364</v>
      </c>
      <c r="O20" t="s">
        <v>376</v>
      </c>
      <c r="P20" t="s">
        <v>377</v>
      </c>
      <c r="R20" t="s">
        <v>372</v>
      </c>
      <c r="S20" t="s">
        <v>399</v>
      </c>
      <c r="U20" t="s">
        <v>385</v>
      </c>
      <c r="V20" t="s">
        <v>386</v>
      </c>
    </row>
    <row r="21" spans="1:22" x14ac:dyDescent="0.25">
      <c r="A21" t="s">
        <v>371</v>
      </c>
      <c r="B21" s="12">
        <f>SUMIFS('Pivot Engine'!$G:$G,'Pivot Engine'!$A:$A,"&gt;="&amp;$AH$3,'Pivot Engine'!$A:$A,"&lt;"&amp;$AH$4,'Pivot Engine'!$D:$D,"Annual")</f>
        <v>642</v>
      </c>
      <c r="D21" t="s">
        <v>374</v>
      </c>
      <c r="E21" s="12">
        <f>SUMIFS('Pivot Engine'!$J:$J,'Pivot Engine'!$A:$A,"&gt;="&amp;$AH$3,'Pivot Engine'!$A:$A,"&lt;"&amp;$AH$4,'Pivot Engine'!$E:$E,"Yes")</f>
        <v>1260</v>
      </c>
      <c r="G21" t="s">
        <v>22</v>
      </c>
      <c r="H21" s="12">
        <f>SUMIFS('Pivot Engine'!$G:$G,'Pivot Engine'!$A:$A,"&gt;="&amp;$AH$3,'Pivot Engine'!$A:$A,"&lt;"&amp;$AH$4,'Pivot Engine'!$B:$B,G21)</f>
        <v>189</v>
      </c>
      <c r="J21" s="13">
        <v>45292</v>
      </c>
      <c r="K21" s="12">
        <f>IF(AND(J21&gt;=$AH$3,J21&lt;$AH$4),SUMIF('Pivot Engine'!$A:$A,J21,'Pivot Engine'!$G:$G),0)</f>
        <v>65</v>
      </c>
      <c r="L21" s="12" t="e">
        <f>IF(AND(J21&gt;=$J$1,J21&lt;$J$2),K21,"")</f>
        <v>#REF!</v>
      </c>
      <c r="M21" t="s">
        <v>22</v>
      </c>
      <c r="N21" s="12">
        <f>SUMIFS('Pivot Engine'!$I:$I,'Pivot Engine'!$A:$A,"&gt;="&amp;$AH$3,'Pivot Engine'!$A:$A,"&lt;"&amp;$AH$4,'Pivot Engine'!$B:$B,M21)</f>
        <v>26</v>
      </c>
      <c r="O21" s="12">
        <f>SUMIFS('Pivot Engine'!$G:$G,'Pivot Engine'!$A:$A,"&gt;="&amp;$AH$3,'Pivot Engine'!$A:$A,"&lt;"&amp;$AH$4,'Pivot Engine'!$B:$B,M21)</f>
        <v>189</v>
      </c>
      <c r="P21" s="12">
        <f>N21+O21</f>
        <v>215</v>
      </c>
      <c r="R21" t="s">
        <v>19</v>
      </c>
      <c r="S21">
        <f>IF(SUM(B25:B26)=0,1,B25)</f>
        <v>425</v>
      </c>
      <c r="U21" t="s">
        <v>317</v>
      </c>
      <c r="V21" t="b">
        <f>B21&gt;0</f>
        <v>1</v>
      </c>
    </row>
    <row r="22" spans="1:22" x14ac:dyDescent="0.25">
      <c r="G22" t="s">
        <v>26</v>
      </c>
      <c r="H22" s="12">
        <f>SUMIFS('Pivot Engine'!$G:$G,'Pivot Engine'!$A:$A,"&gt;="&amp;$AH$3,'Pivot Engine'!$A:$A,"&lt;"&amp;$AH$4,'Pivot Engine'!$B:$B,G22)</f>
        <v>783</v>
      </c>
      <c r="J22" s="13">
        <v>45323</v>
      </c>
      <c r="K22" s="12">
        <f>IF(AND(J22&gt;=$AH$3,J22&lt;$AH$4),SUMIF('Pivot Engine'!$A:$A,J22,'Pivot Engine'!$G:$G),0)</f>
        <v>82</v>
      </c>
      <c r="L22" s="12" t="e">
        <f t="shared" ref="L22:L32" si="0">IF(AND(J22&gt;=$J$1,J22&lt;$J$2),K22,"")</f>
        <v>#REF!</v>
      </c>
      <c r="M22" t="s">
        <v>26</v>
      </c>
      <c r="N22" s="12">
        <f>SUMIFS('Pivot Engine'!$I:$I,'Pivot Engine'!$A:$A,"&gt;="&amp;$AH$3,'Pivot Engine'!$A:$A,"&lt;"&amp;$AH$4,'Pivot Engine'!$B:$B,M22)</f>
        <v>447</v>
      </c>
      <c r="O22" s="12">
        <f>SUMIFS('Pivot Engine'!$G:$G,'Pivot Engine'!$A:$A,"&gt;="&amp;$AH$3,'Pivot Engine'!$A:$A,"&lt;"&amp;$AH$4,'Pivot Engine'!$B:$B,M22)</f>
        <v>783</v>
      </c>
      <c r="P22" s="12">
        <f t="shared" ref="P22:P23" si="1">N22+O22</f>
        <v>1230</v>
      </c>
      <c r="R22" t="s">
        <v>23</v>
      </c>
      <c r="S22">
        <f>IF(SUM(B25:B26)=0,0,B26)</f>
        <v>217</v>
      </c>
      <c r="U22" t="s">
        <v>372</v>
      </c>
      <c r="V22" t="b">
        <f>SUM(B25:B26)&gt;0</f>
        <v>1</v>
      </c>
    </row>
    <row r="23" spans="1:22" x14ac:dyDescent="0.25">
      <c r="G23" t="s">
        <v>18</v>
      </c>
      <c r="H23" s="12">
        <f>SUMIFS('Pivot Engine'!$G:$G,'Pivot Engine'!$A:$A,"&gt;="&amp;$AH$3,'Pivot Engine'!$A:$A,"&lt;"&amp;$AH$4,'Pivot Engine'!$B:$B,G23)</f>
        <v>2305</v>
      </c>
      <c r="J23" s="13">
        <v>45352</v>
      </c>
      <c r="K23" s="12">
        <f>IF(AND(J23&gt;=$AH$3,J23&lt;$AH$4),SUMIF('Pivot Engine'!$A:$A,J23,'Pivot Engine'!$G:$G),0)</f>
        <v>801</v>
      </c>
      <c r="L23" s="12" t="e">
        <f t="shared" si="0"/>
        <v>#REF!</v>
      </c>
      <c r="M23" t="s">
        <v>18</v>
      </c>
      <c r="N23" s="12">
        <f>SUMIFS('Pivot Engine'!$I:$I,'Pivot Engine'!$A:$A,"&gt;="&amp;$AH$3,'Pivot Engine'!$A:$A,"&lt;"&amp;$AH$4,'Pivot Engine'!$B:$B,M23)</f>
        <v>425</v>
      </c>
      <c r="O23" s="12">
        <f>SUMIFS('Pivot Engine'!$G:$G,'Pivot Engine'!$A:$A,"&gt;="&amp;$AH$3,'Pivot Engine'!$A:$A,"&lt;"&amp;$AH$4,'Pivot Engine'!$B:$B,M23)</f>
        <v>2305</v>
      </c>
      <c r="P23" s="12">
        <f t="shared" si="1"/>
        <v>2730</v>
      </c>
      <c r="U23" t="s">
        <v>374</v>
      </c>
      <c r="V23" t="b">
        <f>E21&gt;0</f>
        <v>1</v>
      </c>
    </row>
    <row r="24" spans="1:22" x14ac:dyDescent="0.25">
      <c r="A24" t="s">
        <v>372</v>
      </c>
      <c r="B24" t="s">
        <v>327</v>
      </c>
      <c r="D24" t="s">
        <v>373</v>
      </c>
      <c r="E24" t="s">
        <v>327</v>
      </c>
      <c r="J24" s="13">
        <v>45383</v>
      </c>
      <c r="K24" s="12">
        <f>IF(AND(J24&gt;=$AH$3,J24&lt;$AH$4),SUMIF('Pivot Engine'!$A:$A,J24,'Pivot Engine'!$G:$G),0)</f>
        <v>782</v>
      </c>
      <c r="L24" s="12" t="e">
        <f t="shared" si="0"/>
        <v>#REF!</v>
      </c>
      <c r="U24" t="s">
        <v>375</v>
      </c>
      <c r="V24" t="b">
        <f>E25&gt;0</f>
        <v>1</v>
      </c>
    </row>
    <row r="25" spans="1:22" x14ac:dyDescent="0.25">
      <c r="A25" t="s">
        <v>19</v>
      </c>
      <c r="B25" s="12">
        <f>SUMIFS('Pivot Engine'!$G:$G,'Pivot Engine'!$A:$A,"&gt;="&amp;$AH$3,'Pivot Engine'!$A:$A,"&lt;"&amp;$AH$4,'Pivot Engine'!$D:$D,"Annual",'Pivot Engine'!$C:$C,A25)</f>
        <v>425</v>
      </c>
      <c r="D25" t="s">
        <v>375</v>
      </c>
      <c r="E25" s="12">
        <f>SUMIFS('Pivot Engine'!$K:$K,'Pivot Engine'!$A:$A,"&gt;="&amp;$AH$3,'Pivot Engine'!$A:$A,"&lt;"&amp;$AH$4,'Pivot Engine'!$F:$F,"Yes")</f>
        <v>1660</v>
      </c>
      <c r="J25" s="13">
        <v>45413</v>
      </c>
      <c r="K25" s="12">
        <f>IF(AND(J25&gt;=$AH$3,J25&lt;$AH$4),SUMIF('Pivot Engine'!$A:$A,J25,'Pivot Engine'!$G:$G),0)</f>
        <v>777</v>
      </c>
      <c r="L25" s="12" t="e">
        <f t="shared" si="0"/>
        <v>#REF!</v>
      </c>
      <c r="U25" t="s">
        <v>387</v>
      </c>
      <c r="V25" t="b">
        <f>SUM(H21:H23)&gt;0</f>
        <v>1</v>
      </c>
    </row>
    <row r="26" spans="1:22" x14ac:dyDescent="0.25">
      <c r="A26" t="s">
        <v>23</v>
      </c>
      <c r="B26" s="12">
        <f>SUMIFS('Pivot Engine'!$G:$G,'Pivot Engine'!$A:$A,"&gt;="&amp;$AH$3,'Pivot Engine'!$A:$A,"&lt;"&amp;$AH$4,'Pivot Engine'!$D:$D,"Annual",'Pivot Engine'!$C:$C,A26)</f>
        <v>217</v>
      </c>
      <c r="J26" s="13">
        <v>45444</v>
      </c>
      <c r="K26" s="12">
        <f>IF(AND(J26&gt;=$AH$3,J26&lt;$AH$4),SUMIF('Pivot Engine'!$A:$A,J26,'Pivot Engine'!$G:$G),0)</f>
        <v>770</v>
      </c>
      <c r="L26" s="12" t="e">
        <f t="shared" si="0"/>
        <v>#REF!</v>
      </c>
      <c r="U26" t="s">
        <v>388</v>
      </c>
      <c r="V26" t="b">
        <f>SUM(K21:K32)&gt;0</f>
        <v>1</v>
      </c>
    </row>
    <row r="27" spans="1:22" x14ac:dyDescent="0.25">
      <c r="J27" s="13">
        <v>45474</v>
      </c>
      <c r="K27" s="12">
        <f>IF(AND(J27&gt;=$AH$3,J27&lt;$AH$4),SUMIF('Pivot Engine'!$A:$A,J27,'Pivot Engine'!$G:$G),0)</f>
        <v>0</v>
      </c>
      <c r="L27" s="12" t="e">
        <f t="shared" si="0"/>
        <v>#REF!</v>
      </c>
      <c r="U27" t="s">
        <v>364</v>
      </c>
      <c r="V27" t="b">
        <f>SUM(P21:P23)&gt;0</f>
        <v>1</v>
      </c>
    </row>
    <row r="28" spans="1:22" x14ac:dyDescent="0.25">
      <c r="J28" s="13">
        <v>45505</v>
      </c>
      <c r="K28" s="12">
        <f>IF(AND(J28&gt;=$AH$3,J28&lt;$AH$4),SUMIF('Pivot Engine'!$A:$A,J28,'Pivot Engine'!$G:$G),0)</f>
        <v>0</v>
      </c>
      <c r="L28" s="12" t="e">
        <f t="shared" si="0"/>
        <v>#REF!</v>
      </c>
    </row>
    <row r="29" spans="1:22" x14ac:dyDescent="0.25">
      <c r="J29" s="13">
        <v>45536</v>
      </c>
      <c r="K29" s="12">
        <f>IF(AND(J29&gt;=$AH$3,J29&lt;$AH$4),SUMIF('Pivot Engine'!$A:$A,J29,'Pivot Engine'!$G:$G),0)</f>
        <v>0</v>
      </c>
      <c r="L29" s="12" t="e">
        <f t="shared" si="0"/>
        <v>#REF!</v>
      </c>
    </row>
    <row r="30" spans="1:22" x14ac:dyDescent="0.25">
      <c r="J30" s="13">
        <v>45566</v>
      </c>
      <c r="K30" s="12">
        <f>IF(AND(J30&gt;=$AH$3,J30&lt;$AH$4),SUMIF('Pivot Engine'!$A:$A,J30,'Pivot Engine'!$G:$G),0)</f>
        <v>0</v>
      </c>
      <c r="L30" s="12" t="e">
        <f t="shared" si="0"/>
        <v>#REF!</v>
      </c>
    </row>
    <row r="31" spans="1:22" x14ac:dyDescent="0.25">
      <c r="J31" s="13">
        <v>45597</v>
      </c>
      <c r="K31" s="12">
        <f>IF(AND(J31&gt;=$AH$3,J31&lt;$AH$4),SUMIF('Pivot Engine'!$A:$A,J31,'Pivot Engine'!$G:$G),0)</f>
        <v>0</v>
      </c>
      <c r="L31" s="12" t="e">
        <f t="shared" si="0"/>
        <v>#REF!</v>
      </c>
    </row>
    <row r="32" spans="1:22" x14ac:dyDescent="0.25">
      <c r="J32" s="13">
        <v>45627</v>
      </c>
      <c r="K32" s="12">
        <f>IF(AND(J32&gt;=$AH$3,J32&lt;$AH$4),SUMIF('Pivot Engine'!$A:$A,J32,'Pivot Engine'!$G:$G),0)</f>
        <v>0</v>
      </c>
      <c r="L32" s="12" t="e">
        <f t="shared" si="0"/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3DE0-8F24-432E-8CF4-D710F0BEA42B}">
  <dimension ref="A5:K134"/>
  <sheetViews>
    <sheetView workbookViewId="0"/>
  </sheetViews>
  <sheetFormatPr defaultRowHeight="15" x14ac:dyDescent="0.25"/>
  <cols>
    <col min="1" max="1" width="18.42578125" bestFit="1" customWidth="1"/>
    <col min="2" max="2" width="19.28515625" bestFit="1" customWidth="1"/>
    <col min="3" max="3" width="26.140625" bestFit="1" customWidth="1"/>
    <col min="4" max="4" width="22.140625" bestFit="1" customWidth="1"/>
    <col min="5" max="5" width="33.28515625" bestFit="1" customWidth="1"/>
    <col min="6" max="6" width="23.42578125" bestFit="1" customWidth="1"/>
    <col min="7" max="7" width="19.140625" bestFit="1" customWidth="1"/>
    <col min="8" max="8" width="25" bestFit="1" customWidth="1"/>
    <col min="9" max="9" width="21.7109375" bestFit="1" customWidth="1"/>
    <col min="10" max="10" width="32.85546875" bestFit="1" customWidth="1"/>
    <col min="11" max="11" width="34.5703125" bestFit="1" customWidth="1"/>
  </cols>
  <sheetData>
    <row r="5" spans="1:11" x14ac:dyDescent="0.25">
      <c r="A5" s="75" t="s">
        <v>390</v>
      </c>
      <c r="B5" s="75" t="s">
        <v>13</v>
      </c>
      <c r="C5" s="75" t="s">
        <v>15</v>
      </c>
      <c r="D5" s="75" t="s">
        <v>16</v>
      </c>
      <c r="E5" s="75" t="s">
        <v>309</v>
      </c>
      <c r="F5" s="75" t="s">
        <v>30</v>
      </c>
      <c r="G5" t="s">
        <v>392</v>
      </c>
      <c r="H5" t="s">
        <v>393</v>
      </c>
      <c r="I5" t="s">
        <v>394</v>
      </c>
      <c r="J5" t="s">
        <v>396</v>
      </c>
      <c r="K5" t="s">
        <v>397</v>
      </c>
    </row>
    <row r="6" spans="1:11" x14ac:dyDescent="0.25">
      <c r="A6" s="13">
        <v>45292</v>
      </c>
      <c r="B6" t="s">
        <v>22</v>
      </c>
      <c r="C6" t="s">
        <v>23</v>
      </c>
      <c r="D6" t="s">
        <v>24</v>
      </c>
      <c r="E6" t="s">
        <v>23</v>
      </c>
      <c r="F6" t="s">
        <v>23</v>
      </c>
      <c r="G6" s="73">
        <v>5</v>
      </c>
      <c r="H6" s="74">
        <v>1</v>
      </c>
      <c r="I6" s="73">
        <v>0</v>
      </c>
      <c r="J6" s="74">
        <v>0</v>
      </c>
      <c r="K6" s="73">
        <v>0</v>
      </c>
    </row>
    <row r="7" spans="1:11" x14ac:dyDescent="0.25">
      <c r="A7" s="13">
        <v>45292</v>
      </c>
      <c r="B7" t="s">
        <v>18</v>
      </c>
      <c r="C7" t="s">
        <v>19</v>
      </c>
      <c r="D7" t="s">
        <v>20</v>
      </c>
      <c r="E7" t="s">
        <v>19</v>
      </c>
      <c r="F7" t="s">
        <v>19</v>
      </c>
      <c r="G7" s="73">
        <v>60</v>
      </c>
      <c r="H7" s="74">
        <v>1</v>
      </c>
      <c r="I7" s="73">
        <v>5</v>
      </c>
      <c r="J7" s="74">
        <v>30</v>
      </c>
      <c r="K7" s="73">
        <v>20</v>
      </c>
    </row>
    <row r="8" spans="1:11" x14ac:dyDescent="0.25">
      <c r="A8" s="13">
        <v>45323</v>
      </c>
      <c r="B8" t="s">
        <v>26</v>
      </c>
      <c r="C8" t="s">
        <v>19</v>
      </c>
      <c r="D8" t="s">
        <v>27</v>
      </c>
      <c r="E8" t="s">
        <v>23</v>
      </c>
      <c r="F8" t="s">
        <v>19</v>
      </c>
      <c r="G8" s="73">
        <v>20</v>
      </c>
      <c r="H8" s="74">
        <v>1</v>
      </c>
      <c r="I8" s="73">
        <v>10</v>
      </c>
      <c r="J8" s="74">
        <v>0</v>
      </c>
      <c r="K8" s="73">
        <v>20</v>
      </c>
    </row>
    <row r="9" spans="1:11" x14ac:dyDescent="0.25">
      <c r="A9" s="13">
        <v>45323</v>
      </c>
      <c r="B9" t="s">
        <v>18</v>
      </c>
      <c r="C9" t="s">
        <v>23</v>
      </c>
      <c r="D9" t="s">
        <v>20</v>
      </c>
      <c r="E9" t="s">
        <v>19</v>
      </c>
      <c r="F9" t="s">
        <v>19</v>
      </c>
      <c r="G9" s="73">
        <v>62</v>
      </c>
      <c r="H9" s="74">
        <v>1</v>
      </c>
      <c r="I9" s="73">
        <v>3</v>
      </c>
      <c r="J9" s="74">
        <v>30</v>
      </c>
      <c r="K9" s="73">
        <v>20</v>
      </c>
    </row>
    <row r="10" spans="1:11" x14ac:dyDescent="0.25">
      <c r="A10" s="13">
        <v>45352</v>
      </c>
      <c r="B10" t="s">
        <v>22</v>
      </c>
      <c r="C10" t="s">
        <v>23</v>
      </c>
      <c r="D10" t="s">
        <v>20</v>
      </c>
      <c r="E10" t="s">
        <v>23</v>
      </c>
      <c r="F10" t="s">
        <v>23</v>
      </c>
      <c r="G10" s="73">
        <v>19</v>
      </c>
      <c r="H10" s="74">
        <v>5</v>
      </c>
      <c r="I10" s="73">
        <v>6</v>
      </c>
      <c r="J10" s="74">
        <v>0</v>
      </c>
      <c r="K10" s="73">
        <v>0</v>
      </c>
    </row>
    <row r="11" spans="1:11" x14ac:dyDescent="0.25">
      <c r="A11" s="13">
        <v>45352</v>
      </c>
      <c r="B11" t="s">
        <v>22</v>
      </c>
      <c r="C11" t="s">
        <v>19</v>
      </c>
      <c r="D11" t="s">
        <v>24</v>
      </c>
      <c r="E11" t="s">
        <v>23</v>
      </c>
      <c r="F11" t="s">
        <v>23</v>
      </c>
      <c r="G11" s="73">
        <v>15</v>
      </c>
      <c r="H11" s="74">
        <v>3</v>
      </c>
      <c r="I11" s="73">
        <v>0</v>
      </c>
      <c r="J11" s="74">
        <v>0</v>
      </c>
      <c r="K11" s="73">
        <v>0</v>
      </c>
    </row>
    <row r="12" spans="1:11" x14ac:dyDescent="0.25">
      <c r="A12" s="13">
        <v>45352</v>
      </c>
      <c r="B12" t="s">
        <v>22</v>
      </c>
      <c r="C12" t="s">
        <v>19</v>
      </c>
      <c r="D12" t="s">
        <v>20</v>
      </c>
      <c r="E12" t="s">
        <v>23</v>
      </c>
      <c r="F12" t="s">
        <v>23</v>
      </c>
      <c r="G12" s="73">
        <v>4</v>
      </c>
      <c r="H12" s="74">
        <v>1</v>
      </c>
      <c r="I12" s="73">
        <v>1</v>
      </c>
      <c r="J12" s="74">
        <v>0</v>
      </c>
      <c r="K12" s="73">
        <v>0</v>
      </c>
    </row>
    <row r="13" spans="1:11" x14ac:dyDescent="0.25">
      <c r="A13" s="13">
        <v>45352</v>
      </c>
      <c r="B13" t="s">
        <v>22</v>
      </c>
      <c r="C13" t="s">
        <v>19</v>
      </c>
      <c r="D13" t="s">
        <v>27</v>
      </c>
      <c r="E13" t="s">
        <v>23</v>
      </c>
      <c r="F13" t="s">
        <v>23</v>
      </c>
      <c r="G13" s="73">
        <v>10</v>
      </c>
      <c r="H13" s="74">
        <v>2</v>
      </c>
      <c r="I13" s="73">
        <v>0</v>
      </c>
      <c r="J13" s="74">
        <v>0</v>
      </c>
      <c r="K13" s="73">
        <v>0</v>
      </c>
    </row>
    <row r="14" spans="1:11" x14ac:dyDescent="0.25">
      <c r="A14" s="13">
        <v>45352</v>
      </c>
      <c r="B14" t="s">
        <v>26</v>
      </c>
      <c r="C14" t="s">
        <v>23</v>
      </c>
      <c r="D14" t="s">
        <v>20</v>
      </c>
      <c r="E14" t="s">
        <v>23</v>
      </c>
      <c r="F14" t="s">
        <v>19</v>
      </c>
      <c r="G14" s="73">
        <v>113</v>
      </c>
      <c r="H14" s="74">
        <v>5</v>
      </c>
      <c r="I14" s="73">
        <v>37</v>
      </c>
      <c r="J14" s="74">
        <v>0</v>
      </c>
      <c r="K14" s="73">
        <v>100</v>
      </c>
    </row>
    <row r="15" spans="1:11" x14ac:dyDescent="0.25">
      <c r="A15" s="13">
        <v>45352</v>
      </c>
      <c r="B15" t="s">
        <v>26</v>
      </c>
      <c r="C15" t="s">
        <v>19</v>
      </c>
      <c r="D15" t="s">
        <v>24</v>
      </c>
      <c r="E15" t="s">
        <v>23</v>
      </c>
      <c r="F15" t="s">
        <v>19</v>
      </c>
      <c r="G15" s="73">
        <v>33</v>
      </c>
      <c r="H15" s="74">
        <v>2</v>
      </c>
      <c r="I15" s="73">
        <v>27</v>
      </c>
      <c r="J15" s="74">
        <v>0</v>
      </c>
      <c r="K15" s="73">
        <v>40</v>
      </c>
    </row>
    <row r="16" spans="1:11" x14ac:dyDescent="0.25">
      <c r="A16" s="13">
        <v>45352</v>
      </c>
      <c r="B16" t="s">
        <v>26</v>
      </c>
      <c r="C16" t="s">
        <v>19</v>
      </c>
      <c r="D16" t="s">
        <v>27</v>
      </c>
      <c r="E16" t="s">
        <v>23</v>
      </c>
      <c r="F16" t="s">
        <v>19</v>
      </c>
      <c r="G16" s="73">
        <v>45</v>
      </c>
      <c r="H16" s="74">
        <v>3</v>
      </c>
      <c r="I16" s="73">
        <v>45</v>
      </c>
      <c r="J16" s="74">
        <v>0</v>
      </c>
      <c r="K16" s="73">
        <v>60</v>
      </c>
    </row>
    <row r="17" spans="1:11" x14ac:dyDescent="0.25">
      <c r="A17" s="13">
        <v>45352</v>
      </c>
      <c r="B17" t="s">
        <v>18</v>
      </c>
      <c r="C17" t="s">
        <v>23</v>
      </c>
      <c r="D17" t="s">
        <v>20</v>
      </c>
      <c r="E17" t="s">
        <v>19</v>
      </c>
      <c r="F17" t="s">
        <v>19</v>
      </c>
      <c r="G17" s="73">
        <v>301</v>
      </c>
      <c r="H17" s="74">
        <v>5</v>
      </c>
      <c r="I17" s="73">
        <v>24</v>
      </c>
      <c r="J17" s="74">
        <v>150</v>
      </c>
      <c r="K17" s="73">
        <v>100</v>
      </c>
    </row>
    <row r="18" spans="1:11" x14ac:dyDescent="0.25">
      <c r="A18" s="13">
        <v>45352</v>
      </c>
      <c r="B18" t="s">
        <v>18</v>
      </c>
      <c r="C18" t="s">
        <v>19</v>
      </c>
      <c r="D18" t="s">
        <v>24</v>
      </c>
      <c r="E18" t="s">
        <v>19</v>
      </c>
      <c r="F18" t="s">
        <v>19</v>
      </c>
      <c r="G18" s="73">
        <v>90</v>
      </c>
      <c r="H18" s="74">
        <v>2</v>
      </c>
      <c r="I18" s="73">
        <v>40</v>
      </c>
      <c r="J18" s="74">
        <v>60</v>
      </c>
      <c r="K18" s="73">
        <v>40</v>
      </c>
    </row>
    <row r="19" spans="1:11" x14ac:dyDescent="0.25">
      <c r="A19" s="13">
        <v>45352</v>
      </c>
      <c r="B19" t="s">
        <v>18</v>
      </c>
      <c r="C19" t="s">
        <v>19</v>
      </c>
      <c r="D19" t="s">
        <v>27</v>
      </c>
      <c r="E19" t="s">
        <v>19</v>
      </c>
      <c r="F19" t="s">
        <v>19</v>
      </c>
      <c r="G19" s="73">
        <v>171</v>
      </c>
      <c r="H19" s="74">
        <v>3</v>
      </c>
      <c r="I19" s="73">
        <v>24</v>
      </c>
      <c r="J19" s="74">
        <v>90</v>
      </c>
      <c r="K19" s="73">
        <v>60</v>
      </c>
    </row>
    <row r="20" spans="1:11" x14ac:dyDescent="0.25">
      <c r="A20" s="13">
        <v>45383</v>
      </c>
      <c r="B20" t="s">
        <v>22</v>
      </c>
      <c r="C20" t="s">
        <v>23</v>
      </c>
      <c r="D20" t="s">
        <v>20</v>
      </c>
      <c r="E20" t="s">
        <v>23</v>
      </c>
      <c r="F20" t="s">
        <v>23</v>
      </c>
      <c r="G20" s="73">
        <v>15</v>
      </c>
      <c r="H20" s="74">
        <v>4</v>
      </c>
      <c r="I20" s="73">
        <v>5</v>
      </c>
      <c r="J20" s="74">
        <v>0</v>
      </c>
      <c r="K20" s="73">
        <v>0</v>
      </c>
    </row>
    <row r="21" spans="1:11" x14ac:dyDescent="0.25">
      <c r="A21" s="13">
        <v>45383</v>
      </c>
      <c r="B21" t="s">
        <v>22</v>
      </c>
      <c r="C21" t="s">
        <v>23</v>
      </c>
      <c r="D21" t="s">
        <v>27</v>
      </c>
      <c r="E21" t="s">
        <v>23</v>
      </c>
      <c r="F21" t="s">
        <v>23</v>
      </c>
      <c r="G21" s="73">
        <v>4</v>
      </c>
      <c r="H21" s="74">
        <v>1</v>
      </c>
      <c r="I21" s="73">
        <v>1</v>
      </c>
      <c r="J21" s="74">
        <v>0</v>
      </c>
      <c r="K21" s="73">
        <v>0</v>
      </c>
    </row>
    <row r="22" spans="1:11" x14ac:dyDescent="0.25">
      <c r="A22" s="13">
        <v>45383</v>
      </c>
      <c r="B22" t="s">
        <v>22</v>
      </c>
      <c r="C22" t="s">
        <v>19</v>
      </c>
      <c r="D22" t="s">
        <v>24</v>
      </c>
      <c r="E22" t="s">
        <v>23</v>
      </c>
      <c r="F22" t="s">
        <v>23</v>
      </c>
      <c r="G22" s="73">
        <v>10</v>
      </c>
      <c r="H22" s="74">
        <v>2</v>
      </c>
      <c r="I22" s="73">
        <v>0</v>
      </c>
      <c r="J22" s="74">
        <v>0</v>
      </c>
      <c r="K22" s="73">
        <v>0</v>
      </c>
    </row>
    <row r="23" spans="1:11" x14ac:dyDescent="0.25">
      <c r="A23" s="13">
        <v>45383</v>
      </c>
      <c r="B23" t="s">
        <v>22</v>
      </c>
      <c r="C23" t="s">
        <v>19</v>
      </c>
      <c r="D23" t="s">
        <v>20</v>
      </c>
      <c r="E23" t="s">
        <v>23</v>
      </c>
      <c r="F23" t="s">
        <v>23</v>
      </c>
      <c r="G23" s="73">
        <v>5</v>
      </c>
      <c r="H23" s="74">
        <v>1</v>
      </c>
      <c r="I23" s="73">
        <v>0</v>
      </c>
      <c r="J23" s="74">
        <v>0</v>
      </c>
      <c r="K23" s="73">
        <v>0</v>
      </c>
    </row>
    <row r="24" spans="1:11" x14ac:dyDescent="0.25">
      <c r="A24" s="13">
        <v>45383</v>
      </c>
      <c r="B24" t="s">
        <v>22</v>
      </c>
      <c r="C24" t="s">
        <v>19</v>
      </c>
      <c r="D24" t="s">
        <v>27</v>
      </c>
      <c r="E24" t="s">
        <v>23</v>
      </c>
      <c r="F24" t="s">
        <v>23</v>
      </c>
      <c r="G24" s="73">
        <v>10</v>
      </c>
      <c r="H24" s="74">
        <v>2</v>
      </c>
      <c r="I24" s="73">
        <v>0</v>
      </c>
      <c r="J24" s="74">
        <v>0</v>
      </c>
      <c r="K24" s="73">
        <v>0</v>
      </c>
    </row>
    <row r="25" spans="1:11" x14ac:dyDescent="0.25">
      <c r="A25" s="13">
        <v>45383</v>
      </c>
      <c r="B25" t="s">
        <v>26</v>
      </c>
      <c r="C25" t="s">
        <v>23</v>
      </c>
      <c r="D25" t="s">
        <v>20</v>
      </c>
      <c r="E25" t="s">
        <v>23</v>
      </c>
      <c r="F25" t="s">
        <v>19</v>
      </c>
      <c r="G25" s="73">
        <v>110</v>
      </c>
      <c r="H25" s="74">
        <v>5</v>
      </c>
      <c r="I25" s="73">
        <v>40</v>
      </c>
      <c r="J25" s="74">
        <v>0</v>
      </c>
      <c r="K25" s="73">
        <v>100</v>
      </c>
    </row>
    <row r="26" spans="1:11" x14ac:dyDescent="0.25">
      <c r="A26" s="13">
        <v>45383</v>
      </c>
      <c r="B26" t="s">
        <v>26</v>
      </c>
      <c r="C26" t="s">
        <v>19</v>
      </c>
      <c r="D26" t="s">
        <v>24</v>
      </c>
      <c r="E26" t="s">
        <v>23</v>
      </c>
      <c r="F26" t="s">
        <v>19</v>
      </c>
      <c r="G26" s="73">
        <v>50</v>
      </c>
      <c r="H26" s="74">
        <v>3</v>
      </c>
      <c r="I26" s="73">
        <v>40</v>
      </c>
      <c r="J26" s="74">
        <v>0</v>
      </c>
      <c r="K26" s="73">
        <v>60</v>
      </c>
    </row>
    <row r="27" spans="1:11" x14ac:dyDescent="0.25">
      <c r="A27" s="13">
        <v>45383</v>
      </c>
      <c r="B27" t="s">
        <v>26</v>
      </c>
      <c r="C27" t="s">
        <v>19</v>
      </c>
      <c r="D27" t="s">
        <v>27</v>
      </c>
      <c r="E27" t="s">
        <v>23</v>
      </c>
      <c r="F27" t="s">
        <v>19</v>
      </c>
      <c r="G27" s="73">
        <v>33</v>
      </c>
      <c r="H27" s="74">
        <v>2</v>
      </c>
      <c r="I27" s="73">
        <v>27</v>
      </c>
      <c r="J27" s="74">
        <v>0</v>
      </c>
      <c r="K27" s="73">
        <v>40</v>
      </c>
    </row>
    <row r="28" spans="1:11" x14ac:dyDescent="0.25">
      <c r="A28" s="13">
        <v>45383</v>
      </c>
      <c r="B28" t="s">
        <v>18</v>
      </c>
      <c r="C28" t="s">
        <v>23</v>
      </c>
      <c r="D28" t="s">
        <v>20</v>
      </c>
      <c r="E28" t="s">
        <v>19</v>
      </c>
      <c r="F28" t="s">
        <v>19</v>
      </c>
      <c r="G28" s="73">
        <v>167</v>
      </c>
      <c r="H28" s="74">
        <v>3</v>
      </c>
      <c r="I28" s="73">
        <v>28</v>
      </c>
      <c r="J28" s="74">
        <v>90</v>
      </c>
      <c r="K28" s="73">
        <v>60</v>
      </c>
    </row>
    <row r="29" spans="1:11" x14ac:dyDescent="0.25">
      <c r="A29" s="13">
        <v>45383</v>
      </c>
      <c r="B29" t="s">
        <v>18</v>
      </c>
      <c r="C29" t="s">
        <v>23</v>
      </c>
      <c r="D29" t="s">
        <v>27</v>
      </c>
      <c r="E29" t="s">
        <v>19</v>
      </c>
      <c r="F29" t="s">
        <v>19</v>
      </c>
      <c r="G29" s="73">
        <v>103</v>
      </c>
      <c r="H29" s="74">
        <v>2</v>
      </c>
      <c r="I29" s="73">
        <v>27</v>
      </c>
      <c r="J29" s="74">
        <v>60</v>
      </c>
      <c r="K29" s="73">
        <v>40</v>
      </c>
    </row>
    <row r="30" spans="1:11" x14ac:dyDescent="0.25">
      <c r="A30" s="13">
        <v>45383</v>
      </c>
      <c r="B30" t="s">
        <v>18</v>
      </c>
      <c r="C30" t="s">
        <v>19</v>
      </c>
      <c r="D30" t="s">
        <v>24</v>
      </c>
      <c r="E30" t="s">
        <v>19</v>
      </c>
      <c r="F30" t="s">
        <v>19</v>
      </c>
      <c r="G30" s="73">
        <v>122</v>
      </c>
      <c r="H30" s="74">
        <v>2</v>
      </c>
      <c r="I30" s="73">
        <v>8</v>
      </c>
      <c r="J30" s="74">
        <v>60</v>
      </c>
      <c r="K30" s="73">
        <v>40</v>
      </c>
    </row>
    <row r="31" spans="1:11" x14ac:dyDescent="0.25">
      <c r="A31" s="13">
        <v>45383</v>
      </c>
      <c r="B31" t="s">
        <v>18</v>
      </c>
      <c r="C31" t="s">
        <v>19</v>
      </c>
      <c r="D31" t="s">
        <v>20</v>
      </c>
      <c r="E31" t="s">
        <v>19</v>
      </c>
      <c r="F31" t="s">
        <v>19</v>
      </c>
      <c r="G31" s="73">
        <v>50</v>
      </c>
      <c r="H31" s="74">
        <v>1</v>
      </c>
      <c r="I31" s="73">
        <v>15</v>
      </c>
      <c r="J31" s="74">
        <v>30</v>
      </c>
      <c r="K31" s="73">
        <v>20</v>
      </c>
    </row>
    <row r="32" spans="1:11" x14ac:dyDescent="0.25">
      <c r="A32" s="13">
        <v>45383</v>
      </c>
      <c r="B32" t="s">
        <v>18</v>
      </c>
      <c r="C32" t="s">
        <v>19</v>
      </c>
      <c r="D32" t="s">
        <v>27</v>
      </c>
      <c r="E32" t="s">
        <v>19</v>
      </c>
      <c r="F32" t="s">
        <v>19</v>
      </c>
      <c r="G32" s="73">
        <v>103</v>
      </c>
      <c r="H32" s="74">
        <v>2</v>
      </c>
      <c r="I32" s="73">
        <v>27</v>
      </c>
      <c r="J32" s="74">
        <v>60</v>
      </c>
      <c r="K32" s="73">
        <v>40</v>
      </c>
    </row>
    <row r="33" spans="1:11" x14ac:dyDescent="0.25">
      <c r="A33" s="13">
        <v>45413</v>
      </c>
      <c r="B33" t="s">
        <v>22</v>
      </c>
      <c r="C33" t="s">
        <v>23</v>
      </c>
      <c r="D33" t="s">
        <v>24</v>
      </c>
      <c r="E33" t="s">
        <v>23</v>
      </c>
      <c r="F33" t="s">
        <v>23</v>
      </c>
      <c r="G33" s="73">
        <v>15</v>
      </c>
      <c r="H33" s="74">
        <v>3</v>
      </c>
      <c r="I33" s="73">
        <v>0</v>
      </c>
      <c r="J33" s="74">
        <v>0</v>
      </c>
      <c r="K33" s="73">
        <v>0</v>
      </c>
    </row>
    <row r="34" spans="1:11" x14ac:dyDescent="0.25">
      <c r="A34" s="13">
        <v>45413</v>
      </c>
      <c r="B34" t="s">
        <v>22</v>
      </c>
      <c r="C34" t="s">
        <v>23</v>
      </c>
      <c r="D34" t="s">
        <v>20</v>
      </c>
      <c r="E34" t="s">
        <v>23</v>
      </c>
      <c r="F34" t="s">
        <v>23</v>
      </c>
      <c r="G34" s="73">
        <v>5</v>
      </c>
      <c r="H34" s="74">
        <v>1</v>
      </c>
      <c r="I34" s="73">
        <v>0</v>
      </c>
      <c r="J34" s="74">
        <v>0</v>
      </c>
      <c r="K34" s="73">
        <v>0</v>
      </c>
    </row>
    <row r="35" spans="1:11" x14ac:dyDescent="0.25">
      <c r="A35" s="13">
        <v>45413</v>
      </c>
      <c r="B35" t="s">
        <v>22</v>
      </c>
      <c r="C35" t="s">
        <v>23</v>
      </c>
      <c r="D35" t="s">
        <v>27</v>
      </c>
      <c r="E35" t="s">
        <v>23</v>
      </c>
      <c r="F35" t="s">
        <v>23</v>
      </c>
      <c r="G35" s="73">
        <v>10</v>
      </c>
      <c r="H35" s="74">
        <v>2</v>
      </c>
      <c r="I35" s="73">
        <v>0</v>
      </c>
      <c r="J35" s="74">
        <v>0</v>
      </c>
      <c r="K35" s="73">
        <v>0</v>
      </c>
    </row>
    <row r="36" spans="1:11" x14ac:dyDescent="0.25">
      <c r="A36" s="13">
        <v>45413</v>
      </c>
      <c r="B36" t="s">
        <v>22</v>
      </c>
      <c r="C36" t="s">
        <v>19</v>
      </c>
      <c r="D36" t="s">
        <v>20</v>
      </c>
      <c r="E36" t="s">
        <v>23</v>
      </c>
      <c r="F36" t="s">
        <v>23</v>
      </c>
      <c r="G36" s="73">
        <v>15</v>
      </c>
      <c r="H36" s="74">
        <v>4</v>
      </c>
      <c r="I36" s="73">
        <v>5</v>
      </c>
      <c r="J36" s="74">
        <v>0</v>
      </c>
      <c r="K36" s="73">
        <v>0</v>
      </c>
    </row>
    <row r="37" spans="1:11" x14ac:dyDescent="0.25">
      <c r="A37" s="13">
        <v>45413</v>
      </c>
      <c r="B37" t="s">
        <v>22</v>
      </c>
      <c r="C37" t="s">
        <v>19</v>
      </c>
      <c r="D37" t="s">
        <v>27</v>
      </c>
      <c r="E37" t="s">
        <v>23</v>
      </c>
      <c r="F37" t="s">
        <v>23</v>
      </c>
      <c r="G37" s="73">
        <v>4</v>
      </c>
      <c r="H37" s="74">
        <v>1</v>
      </c>
      <c r="I37" s="73">
        <v>1</v>
      </c>
      <c r="J37" s="74">
        <v>0</v>
      </c>
      <c r="K37" s="73">
        <v>0</v>
      </c>
    </row>
    <row r="38" spans="1:11" x14ac:dyDescent="0.25">
      <c r="A38" s="13">
        <v>45413</v>
      </c>
      <c r="B38" t="s">
        <v>26</v>
      </c>
      <c r="C38" t="s">
        <v>23</v>
      </c>
      <c r="D38" t="s">
        <v>24</v>
      </c>
      <c r="E38" t="s">
        <v>23</v>
      </c>
      <c r="F38" t="s">
        <v>19</v>
      </c>
      <c r="G38" s="73">
        <v>50</v>
      </c>
      <c r="H38" s="74">
        <v>3</v>
      </c>
      <c r="I38" s="73">
        <v>40</v>
      </c>
      <c r="J38" s="74">
        <v>0</v>
      </c>
      <c r="K38" s="73">
        <v>60</v>
      </c>
    </row>
    <row r="39" spans="1:11" x14ac:dyDescent="0.25">
      <c r="A39" s="13">
        <v>45413</v>
      </c>
      <c r="B39" t="s">
        <v>26</v>
      </c>
      <c r="C39" t="s">
        <v>23</v>
      </c>
      <c r="D39" t="s">
        <v>27</v>
      </c>
      <c r="E39" t="s">
        <v>23</v>
      </c>
      <c r="F39" t="s">
        <v>19</v>
      </c>
      <c r="G39" s="73">
        <v>33</v>
      </c>
      <c r="H39" s="74">
        <v>2</v>
      </c>
      <c r="I39" s="73">
        <v>27</v>
      </c>
      <c r="J39" s="74">
        <v>0</v>
      </c>
      <c r="K39" s="73">
        <v>40</v>
      </c>
    </row>
    <row r="40" spans="1:11" x14ac:dyDescent="0.25">
      <c r="A40" s="13">
        <v>45413</v>
      </c>
      <c r="B40" t="s">
        <v>26</v>
      </c>
      <c r="C40" t="s">
        <v>19</v>
      </c>
      <c r="D40" t="s">
        <v>20</v>
      </c>
      <c r="E40" t="s">
        <v>23</v>
      </c>
      <c r="F40" t="s">
        <v>19</v>
      </c>
      <c r="G40" s="73">
        <v>85</v>
      </c>
      <c r="H40" s="74">
        <v>4</v>
      </c>
      <c r="I40" s="73">
        <v>35</v>
      </c>
      <c r="J40" s="74">
        <v>0</v>
      </c>
      <c r="K40" s="73">
        <v>80</v>
      </c>
    </row>
    <row r="41" spans="1:11" x14ac:dyDescent="0.25">
      <c r="A41" s="13">
        <v>45413</v>
      </c>
      <c r="B41" t="s">
        <v>26</v>
      </c>
      <c r="C41" t="s">
        <v>19</v>
      </c>
      <c r="D41" t="s">
        <v>27</v>
      </c>
      <c r="E41" t="s">
        <v>23</v>
      </c>
      <c r="F41" t="s">
        <v>19</v>
      </c>
      <c r="G41" s="73">
        <v>15</v>
      </c>
      <c r="H41" s="74">
        <v>1</v>
      </c>
      <c r="I41" s="73">
        <v>15</v>
      </c>
      <c r="J41" s="74">
        <v>0</v>
      </c>
      <c r="K41" s="73">
        <v>20</v>
      </c>
    </row>
    <row r="42" spans="1:11" x14ac:dyDescent="0.25">
      <c r="A42" s="13">
        <v>45413</v>
      </c>
      <c r="B42" t="s">
        <v>18</v>
      </c>
      <c r="C42" t="s">
        <v>23</v>
      </c>
      <c r="D42" t="s">
        <v>24</v>
      </c>
      <c r="E42" t="s">
        <v>19</v>
      </c>
      <c r="F42" t="s">
        <v>19</v>
      </c>
      <c r="G42" s="73">
        <v>122</v>
      </c>
      <c r="H42" s="74">
        <v>2</v>
      </c>
      <c r="I42" s="73">
        <v>8</v>
      </c>
      <c r="J42" s="74">
        <v>60</v>
      </c>
      <c r="K42" s="73">
        <v>40</v>
      </c>
    </row>
    <row r="43" spans="1:11" x14ac:dyDescent="0.25">
      <c r="A43" s="13">
        <v>45413</v>
      </c>
      <c r="B43" t="s">
        <v>18</v>
      </c>
      <c r="C43" t="s">
        <v>23</v>
      </c>
      <c r="D43" t="s">
        <v>20</v>
      </c>
      <c r="E43" t="s">
        <v>19</v>
      </c>
      <c r="F43" t="s">
        <v>19</v>
      </c>
      <c r="G43" s="73">
        <v>50</v>
      </c>
      <c r="H43" s="74">
        <v>1</v>
      </c>
      <c r="I43" s="73">
        <v>15</v>
      </c>
      <c r="J43" s="74">
        <v>30</v>
      </c>
      <c r="K43" s="73">
        <v>20</v>
      </c>
    </row>
    <row r="44" spans="1:11" x14ac:dyDescent="0.25">
      <c r="A44" s="13">
        <v>45413</v>
      </c>
      <c r="B44" t="s">
        <v>18</v>
      </c>
      <c r="C44" t="s">
        <v>23</v>
      </c>
      <c r="D44" t="s">
        <v>27</v>
      </c>
      <c r="E44" t="s">
        <v>19</v>
      </c>
      <c r="F44" t="s">
        <v>19</v>
      </c>
      <c r="G44" s="73">
        <v>103</v>
      </c>
      <c r="H44" s="74">
        <v>2</v>
      </c>
      <c r="I44" s="73">
        <v>27</v>
      </c>
      <c r="J44" s="74">
        <v>60</v>
      </c>
      <c r="K44" s="73">
        <v>40</v>
      </c>
    </row>
    <row r="45" spans="1:11" x14ac:dyDescent="0.25">
      <c r="A45" s="13">
        <v>45413</v>
      </c>
      <c r="B45" t="s">
        <v>18</v>
      </c>
      <c r="C45" t="s">
        <v>19</v>
      </c>
      <c r="D45" t="s">
        <v>20</v>
      </c>
      <c r="E45" t="s">
        <v>19</v>
      </c>
      <c r="F45" t="s">
        <v>19</v>
      </c>
      <c r="G45" s="73">
        <v>167</v>
      </c>
      <c r="H45" s="74">
        <v>3</v>
      </c>
      <c r="I45" s="73">
        <v>28</v>
      </c>
      <c r="J45" s="74">
        <v>90</v>
      </c>
      <c r="K45" s="73">
        <v>60</v>
      </c>
    </row>
    <row r="46" spans="1:11" x14ac:dyDescent="0.25">
      <c r="A46" s="13">
        <v>45413</v>
      </c>
      <c r="B46" t="s">
        <v>18</v>
      </c>
      <c r="C46" t="s">
        <v>19</v>
      </c>
      <c r="D46" t="s">
        <v>27</v>
      </c>
      <c r="E46" t="s">
        <v>19</v>
      </c>
      <c r="F46" t="s">
        <v>19</v>
      </c>
      <c r="G46" s="73">
        <v>103</v>
      </c>
      <c r="H46" s="74">
        <v>2</v>
      </c>
      <c r="I46" s="73">
        <v>27</v>
      </c>
      <c r="J46" s="74">
        <v>60</v>
      </c>
      <c r="K46" s="73">
        <v>40</v>
      </c>
    </row>
    <row r="47" spans="1:11" x14ac:dyDescent="0.25">
      <c r="A47" s="13">
        <v>45444</v>
      </c>
      <c r="B47" t="s">
        <v>22</v>
      </c>
      <c r="C47" t="s">
        <v>23</v>
      </c>
      <c r="D47" t="s">
        <v>24</v>
      </c>
      <c r="E47" t="s">
        <v>23</v>
      </c>
      <c r="F47" t="s">
        <v>23</v>
      </c>
      <c r="G47" s="73">
        <v>5</v>
      </c>
      <c r="H47" s="74">
        <v>1</v>
      </c>
      <c r="I47" s="73">
        <v>0</v>
      </c>
      <c r="J47" s="74">
        <v>0</v>
      </c>
      <c r="K47" s="73">
        <v>0</v>
      </c>
    </row>
    <row r="48" spans="1:11" x14ac:dyDescent="0.25">
      <c r="A48" s="13">
        <v>45444</v>
      </c>
      <c r="B48" t="s">
        <v>22</v>
      </c>
      <c r="C48" t="s">
        <v>23</v>
      </c>
      <c r="D48" t="s">
        <v>20</v>
      </c>
      <c r="E48" t="s">
        <v>23</v>
      </c>
      <c r="F48" t="s">
        <v>23</v>
      </c>
      <c r="G48" s="73">
        <v>7</v>
      </c>
      <c r="H48" s="74">
        <v>2</v>
      </c>
      <c r="I48" s="73">
        <v>3</v>
      </c>
      <c r="J48" s="74">
        <v>0</v>
      </c>
      <c r="K48" s="73">
        <v>0</v>
      </c>
    </row>
    <row r="49" spans="1:11" x14ac:dyDescent="0.25">
      <c r="A49" s="13">
        <v>45444</v>
      </c>
      <c r="B49" t="s">
        <v>22</v>
      </c>
      <c r="C49" t="s">
        <v>23</v>
      </c>
      <c r="D49" t="s">
        <v>27</v>
      </c>
      <c r="E49" t="s">
        <v>23</v>
      </c>
      <c r="F49" t="s">
        <v>23</v>
      </c>
      <c r="G49" s="73">
        <v>4</v>
      </c>
      <c r="H49" s="74">
        <v>1</v>
      </c>
      <c r="I49" s="73">
        <v>1</v>
      </c>
      <c r="J49" s="74">
        <v>0</v>
      </c>
      <c r="K49" s="73">
        <v>0</v>
      </c>
    </row>
    <row r="50" spans="1:11" x14ac:dyDescent="0.25">
      <c r="A50" s="13">
        <v>45444</v>
      </c>
      <c r="B50" t="s">
        <v>22</v>
      </c>
      <c r="C50" t="s">
        <v>19</v>
      </c>
      <c r="D50" t="s">
        <v>24</v>
      </c>
      <c r="E50" t="s">
        <v>23</v>
      </c>
      <c r="F50" t="s">
        <v>23</v>
      </c>
      <c r="G50" s="73">
        <v>10</v>
      </c>
      <c r="H50" s="74">
        <v>2</v>
      </c>
      <c r="I50" s="73">
        <v>0</v>
      </c>
      <c r="J50" s="74">
        <v>0</v>
      </c>
      <c r="K50" s="73">
        <v>0</v>
      </c>
    </row>
    <row r="51" spans="1:11" x14ac:dyDescent="0.25">
      <c r="A51" s="13">
        <v>45444</v>
      </c>
      <c r="B51" t="s">
        <v>22</v>
      </c>
      <c r="C51" t="s">
        <v>19</v>
      </c>
      <c r="D51" t="s">
        <v>20</v>
      </c>
      <c r="E51" t="s">
        <v>23</v>
      </c>
      <c r="F51" t="s">
        <v>23</v>
      </c>
      <c r="G51" s="73">
        <v>8</v>
      </c>
      <c r="H51" s="74">
        <v>2</v>
      </c>
      <c r="I51" s="73">
        <v>2</v>
      </c>
      <c r="J51" s="74">
        <v>0</v>
      </c>
      <c r="K51" s="73">
        <v>0</v>
      </c>
    </row>
    <row r="52" spans="1:11" x14ac:dyDescent="0.25">
      <c r="A52" s="13">
        <v>45444</v>
      </c>
      <c r="B52" t="s">
        <v>22</v>
      </c>
      <c r="C52" t="s">
        <v>19</v>
      </c>
      <c r="D52" t="s">
        <v>27</v>
      </c>
      <c r="E52" t="s">
        <v>23</v>
      </c>
      <c r="F52" t="s">
        <v>23</v>
      </c>
      <c r="G52" s="73">
        <v>9</v>
      </c>
      <c r="H52" s="74">
        <v>2</v>
      </c>
      <c r="I52" s="73">
        <v>1</v>
      </c>
      <c r="J52" s="74">
        <v>0</v>
      </c>
      <c r="K52" s="73">
        <v>0</v>
      </c>
    </row>
    <row r="53" spans="1:11" x14ac:dyDescent="0.25">
      <c r="A53" s="13">
        <v>45444</v>
      </c>
      <c r="B53" t="s">
        <v>26</v>
      </c>
      <c r="C53" t="s">
        <v>23</v>
      </c>
      <c r="D53" t="s">
        <v>24</v>
      </c>
      <c r="E53" t="s">
        <v>23</v>
      </c>
      <c r="F53" t="s">
        <v>19</v>
      </c>
      <c r="G53" s="73">
        <v>20</v>
      </c>
      <c r="H53" s="74">
        <v>1</v>
      </c>
      <c r="I53" s="73">
        <v>10</v>
      </c>
      <c r="J53" s="74">
        <v>0</v>
      </c>
      <c r="K53" s="73">
        <v>20</v>
      </c>
    </row>
    <row r="54" spans="1:11" x14ac:dyDescent="0.25">
      <c r="A54" s="13">
        <v>45444</v>
      </c>
      <c r="B54" t="s">
        <v>26</v>
      </c>
      <c r="C54" t="s">
        <v>23</v>
      </c>
      <c r="D54" t="s">
        <v>20</v>
      </c>
      <c r="E54" t="s">
        <v>23</v>
      </c>
      <c r="F54" t="s">
        <v>19</v>
      </c>
      <c r="G54" s="73">
        <v>65</v>
      </c>
      <c r="H54" s="74">
        <v>3</v>
      </c>
      <c r="I54" s="73">
        <v>25</v>
      </c>
      <c r="J54" s="74">
        <v>0</v>
      </c>
      <c r="K54" s="73">
        <v>60</v>
      </c>
    </row>
    <row r="55" spans="1:11" x14ac:dyDescent="0.25">
      <c r="A55" s="13">
        <v>45444</v>
      </c>
      <c r="B55" t="s">
        <v>26</v>
      </c>
      <c r="C55" t="s">
        <v>23</v>
      </c>
      <c r="D55" t="s">
        <v>27</v>
      </c>
      <c r="E55" t="s">
        <v>23</v>
      </c>
      <c r="F55" t="s">
        <v>19</v>
      </c>
      <c r="G55" s="73">
        <v>18</v>
      </c>
      <c r="H55" s="74">
        <v>1</v>
      </c>
      <c r="I55" s="73">
        <v>12</v>
      </c>
      <c r="J55" s="74">
        <v>0</v>
      </c>
      <c r="K55" s="73">
        <v>20</v>
      </c>
    </row>
    <row r="56" spans="1:11" x14ac:dyDescent="0.25">
      <c r="A56" s="13">
        <v>45444</v>
      </c>
      <c r="B56" t="s">
        <v>26</v>
      </c>
      <c r="C56" t="s">
        <v>19</v>
      </c>
      <c r="D56" t="s">
        <v>24</v>
      </c>
      <c r="E56" t="s">
        <v>23</v>
      </c>
      <c r="F56" t="s">
        <v>19</v>
      </c>
      <c r="G56" s="73">
        <v>35</v>
      </c>
      <c r="H56" s="74">
        <v>2</v>
      </c>
      <c r="I56" s="73">
        <v>25</v>
      </c>
      <c r="J56" s="74">
        <v>0</v>
      </c>
      <c r="K56" s="73">
        <v>40</v>
      </c>
    </row>
    <row r="57" spans="1:11" x14ac:dyDescent="0.25">
      <c r="A57" s="13">
        <v>45444</v>
      </c>
      <c r="B57" t="s">
        <v>26</v>
      </c>
      <c r="C57" t="s">
        <v>19</v>
      </c>
      <c r="D57" t="s">
        <v>20</v>
      </c>
      <c r="E57" t="s">
        <v>23</v>
      </c>
      <c r="F57" t="s">
        <v>19</v>
      </c>
      <c r="G57" s="73">
        <v>25</v>
      </c>
      <c r="H57" s="74">
        <v>1</v>
      </c>
      <c r="I57" s="73">
        <v>5</v>
      </c>
      <c r="J57" s="74">
        <v>0</v>
      </c>
      <c r="K57" s="73">
        <v>20</v>
      </c>
    </row>
    <row r="58" spans="1:11" x14ac:dyDescent="0.25">
      <c r="A58" s="13">
        <v>45444</v>
      </c>
      <c r="B58" t="s">
        <v>26</v>
      </c>
      <c r="C58" t="s">
        <v>19</v>
      </c>
      <c r="D58" t="s">
        <v>27</v>
      </c>
      <c r="E58" t="s">
        <v>23</v>
      </c>
      <c r="F58" t="s">
        <v>19</v>
      </c>
      <c r="G58" s="73">
        <v>33</v>
      </c>
      <c r="H58" s="74">
        <v>2</v>
      </c>
      <c r="I58" s="73">
        <v>27</v>
      </c>
      <c r="J58" s="74">
        <v>0</v>
      </c>
      <c r="K58" s="73">
        <v>40</v>
      </c>
    </row>
    <row r="59" spans="1:11" x14ac:dyDescent="0.25">
      <c r="A59" s="13">
        <v>45444</v>
      </c>
      <c r="B59" t="s">
        <v>18</v>
      </c>
      <c r="C59" t="s">
        <v>23</v>
      </c>
      <c r="D59" t="s">
        <v>20</v>
      </c>
      <c r="E59" t="s">
        <v>19</v>
      </c>
      <c r="F59" t="s">
        <v>19</v>
      </c>
      <c r="G59" s="73">
        <v>157</v>
      </c>
      <c r="H59" s="74">
        <v>3</v>
      </c>
      <c r="I59" s="73">
        <v>38</v>
      </c>
      <c r="J59" s="74">
        <v>90</v>
      </c>
      <c r="K59" s="73">
        <v>60</v>
      </c>
    </row>
    <row r="60" spans="1:11" x14ac:dyDescent="0.25">
      <c r="A60" s="13">
        <v>45444</v>
      </c>
      <c r="B60" t="s">
        <v>18</v>
      </c>
      <c r="C60" t="s">
        <v>23</v>
      </c>
      <c r="D60" t="s">
        <v>27</v>
      </c>
      <c r="E60" t="s">
        <v>19</v>
      </c>
      <c r="F60" t="s">
        <v>19</v>
      </c>
      <c r="G60" s="73">
        <v>103</v>
      </c>
      <c r="H60" s="74">
        <v>2</v>
      </c>
      <c r="I60" s="73">
        <v>27</v>
      </c>
      <c r="J60" s="74">
        <v>60</v>
      </c>
      <c r="K60" s="73">
        <v>40</v>
      </c>
    </row>
    <row r="61" spans="1:11" x14ac:dyDescent="0.25">
      <c r="A61" s="13">
        <v>45444</v>
      </c>
      <c r="B61" t="s">
        <v>18</v>
      </c>
      <c r="C61" t="s">
        <v>19</v>
      </c>
      <c r="D61" t="s">
        <v>24</v>
      </c>
      <c r="E61" t="s">
        <v>19</v>
      </c>
      <c r="F61" t="s">
        <v>19</v>
      </c>
      <c r="G61" s="73">
        <v>60</v>
      </c>
      <c r="H61" s="74">
        <v>1</v>
      </c>
      <c r="I61" s="73">
        <v>5</v>
      </c>
      <c r="J61" s="74">
        <v>30</v>
      </c>
      <c r="K61" s="73">
        <v>20</v>
      </c>
    </row>
    <row r="62" spans="1:11" x14ac:dyDescent="0.25">
      <c r="A62" s="13">
        <v>45444</v>
      </c>
      <c r="B62" t="s">
        <v>18</v>
      </c>
      <c r="C62" t="s">
        <v>19</v>
      </c>
      <c r="D62" t="s">
        <v>20</v>
      </c>
      <c r="E62" t="s">
        <v>19</v>
      </c>
      <c r="F62" t="s">
        <v>19</v>
      </c>
      <c r="G62" s="73">
        <v>108</v>
      </c>
      <c r="H62" s="74">
        <v>2</v>
      </c>
      <c r="I62" s="73">
        <v>22</v>
      </c>
      <c r="J62" s="74">
        <v>60</v>
      </c>
      <c r="K62" s="73">
        <v>40</v>
      </c>
    </row>
    <row r="63" spans="1:11" x14ac:dyDescent="0.25">
      <c r="A63" s="13">
        <v>45444</v>
      </c>
      <c r="B63" t="s">
        <v>18</v>
      </c>
      <c r="C63" t="s">
        <v>19</v>
      </c>
      <c r="D63" t="s">
        <v>27</v>
      </c>
      <c r="E63" t="s">
        <v>19</v>
      </c>
      <c r="F63" t="s">
        <v>19</v>
      </c>
      <c r="G63" s="73">
        <v>103</v>
      </c>
      <c r="H63" s="74">
        <v>2</v>
      </c>
      <c r="I63" s="73">
        <v>27</v>
      </c>
      <c r="J63" s="74">
        <v>60</v>
      </c>
      <c r="K63" s="73">
        <v>40</v>
      </c>
    </row>
    <row r="64" spans="1:11" x14ac:dyDescent="0.25">
      <c r="A64" s="13">
        <v>45474</v>
      </c>
      <c r="B64" t="s">
        <v>22</v>
      </c>
      <c r="C64" t="s">
        <v>23</v>
      </c>
      <c r="D64" t="s">
        <v>20</v>
      </c>
      <c r="E64" t="s">
        <v>23</v>
      </c>
      <c r="F64" t="s">
        <v>23</v>
      </c>
      <c r="G64" s="73">
        <v>19</v>
      </c>
      <c r="H64" s="74">
        <v>5</v>
      </c>
      <c r="I64" s="73">
        <v>6</v>
      </c>
      <c r="J64" s="74">
        <v>0</v>
      </c>
      <c r="K64" s="73">
        <v>0</v>
      </c>
    </row>
    <row r="65" spans="1:11" x14ac:dyDescent="0.25">
      <c r="A65" s="13">
        <v>45474</v>
      </c>
      <c r="B65" t="s">
        <v>22</v>
      </c>
      <c r="C65" t="s">
        <v>23</v>
      </c>
      <c r="D65" t="s">
        <v>27</v>
      </c>
      <c r="E65" t="s">
        <v>23</v>
      </c>
      <c r="F65" t="s">
        <v>23</v>
      </c>
      <c r="G65" s="73">
        <v>4</v>
      </c>
      <c r="H65" s="74">
        <v>1</v>
      </c>
      <c r="I65" s="73">
        <v>1</v>
      </c>
      <c r="J65" s="74">
        <v>0</v>
      </c>
      <c r="K65" s="73">
        <v>0</v>
      </c>
    </row>
    <row r="66" spans="1:11" x14ac:dyDescent="0.25">
      <c r="A66" s="13">
        <v>45474</v>
      </c>
      <c r="B66" t="s">
        <v>22</v>
      </c>
      <c r="C66" t="s">
        <v>19</v>
      </c>
      <c r="D66" t="s">
        <v>24</v>
      </c>
      <c r="E66" t="s">
        <v>23</v>
      </c>
      <c r="F66" t="s">
        <v>23</v>
      </c>
      <c r="G66" s="73">
        <v>10</v>
      </c>
      <c r="H66" s="74">
        <v>2</v>
      </c>
      <c r="I66" s="73">
        <v>0</v>
      </c>
      <c r="J66" s="74">
        <v>0</v>
      </c>
      <c r="K66" s="73">
        <v>0</v>
      </c>
    </row>
    <row r="67" spans="1:11" x14ac:dyDescent="0.25">
      <c r="A67" s="13">
        <v>45474</v>
      </c>
      <c r="B67" t="s">
        <v>22</v>
      </c>
      <c r="C67" t="s">
        <v>19</v>
      </c>
      <c r="D67" t="s">
        <v>20</v>
      </c>
      <c r="E67" t="s">
        <v>23</v>
      </c>
      <c r="F67" t="s">
        <v>23</v>
      </c>
      <c r="G67" s="73">
        <v>5</v>
      </c>
      <c r="H67" s="74">
        <v>1</v>
      </c>
      <c r="I67" s="73">
        <v>0</v>
      </c>
      <c r="J67" s="74">
        <v>0</v>
      </c>
      <c r="K67" s="73">
        <v>0</v>
      </c>
    </row>
    <row r="68" spans="1:11" x14ac:dyDescent="0.25">
      <c r="A68" s="13">
        <v>45474</v>
      </c>
      <c r="B68" t="s">
        <v>22</v>
      </c>
      <c r="C68" t="s">
        <v>19</v>
      </c>
      <c r="D68" t="s">
        <v>27</v>
      </c>
      <c r="E68" t="s">
        <v>23</v>
      </c>
      <c r="F68" t="s">
        <v>23</v>
      </c>
      <c r="G68" s="73">
        <v>10</v>
      </c>
      <c r="H68" s="74">
        <v>2</v>
      </c>
      <c r="I68" s="73">
        <v>0</v>
      </c>
      <c r="J68" s="74">
        <v>0</v>
      </c>
      <c r="K68" s="73">
        <v>0</v>
      </c>
    </row>
    <row r="69" spans="1:11" x14ac:dyDescent="0.25">
      <c r="A69" s="13">
        <v>45474</v>
      </c>
      <c r="B69" t="s">
        <v>26</v>
      </c>
      <c r="C69" t="s">
        <v>23</v>
      </c>
      <c r="D69" t="s">
        <v>20</v>
      </c>
      <c r="E69" t="s">
        <v>23</v>
      </c>
      <c r="F69" t="s">
        <v>19</v>
      </c>
      <c r="G69" s="73">
        <v>105</v>
      </c>
      <c r="H69" s="74">
        <v>5</v>
      </c>
      <c r="I69" s="73">
        <v>45</v>
      </c>
      <c r="J69" s="74">
        <v>0</v>
      </c>
      <c r="K69" s="73">
        <v>100</v>
      </c>
    </row>
    <row r="70" spans="1:11" x14ac:dyDescent="0.25">
      <c r="A70" s="13">
        <v>45474</v>
      </c>
      <c r="B70" t="s">
        <v>26</v>
      </c>
      <c r="C70" t="s">
        <v>19</v>
      </c>
      <c r="D70" t="s">
        <v>24</v>
      </c>
      <c r="E70" t="s">
        <v>23</v>
      </c>
      <c r="F70" t="s">
        <v>19</v>
      </c>
      <c r="G70" s="73">
        <v>50</v>
      </c>
      <c r="H70" s="74">
        <v>3</v>
      </c>
      <c r="I70" s="73">
        <v>40</v>
      </c>
      <c r="J70" s="74">
        <v>0</v>
      </c>
      <c r="K70" s="73">
        <v>60</v>
      </c>
    </row>
    <row r="71" spans="1:11" x14ac:dyDescent="0.25">
      <c r="A71" s="13">
        <v>45474</v>
      </c>
      <c r="B71" t="s">
        <v>26</v>
      </c>
      <c r="C71" t="s">
        <v>19</v>
      </c>
      <c r="D71" t="s">
        <v>27</v>
      </c>
      <c r="E71" t="s">
        <v>23</v>
      </c>
      <c r="F71" t="s">
        <v>19</v>
      </c>
      <c r="G71" s="73">
        <v>33</v>
      </c>
      <c r="H71" s="74">
        <v>2</v>
      </c>
      <c r="I71" s="73">
        <v>27</v>
      </c>
      <c r="J71" s="74">
        <v>0</v>
      </c>
      <c r="K71" s="73">
        <v>40</v>
      </c>
    </row>
    <row r="72" spans="1:11" x14ac:dyDescent="0.25">
      <c r="A72" s="13">
        <v>45474</v>
      </c>
      <c r="B72" t="s">
        <v>18</v>
      </c>
      <c r="C72" t="s">
        <v>23</v>
      </c>
      <c r="D72" t="s">
        <v>20</v>
      </c>
      <c r="E72" t="s">
        <v>19</v>
      </c>
      <c r="F72" t="s">
        <v>19</v>
      </c>
      <c r="G72" s="73">
        <v>157</v>
      </c>
      <c r="H72" s="74">
        <v>3</v>
      </c>
      <c r="I72" s="73">
        <v>38</v>
      </c>
      <c r="J72" s="74">
        <v>90</v>
      </c>
      <c r="K72" s="73">
        <v>60</v>
      </c>
    </row>
    <row r="73" spans="1:11" x14ac:dyDescent="0.25">
      <c r="A73" s="13">
        <v>45474</v>
      </c>
      <c r="B73" t="s">
        <v>18</v>
      </c>
      <c r="C73" t="s">
        <v>23</v>
      </c>
      <c r="D73" t="s">
        <v>27</v>
      </c>
      <c r="E73" t="s">
        <v>19</v>
      </c>
      <c r="F73" t="s">
        <v>19</v>
      </c>
      <c r="G73" s="73">
        <v>103</v>
      </c>
      <c r="H73" s="74">
        <v>2</v>
      </c>
      <c r="I73" s="73">
        <v>27</v>
      </c>
      <c r="J73" s="74">
        <v>60</v>
      </c>
      <c r="K73" s="73">
        <v>40</v>
      </c>
    </row>
    <row r="74" spans="1:11" x14ac:dyDescent="0.25">
      <c r="A74" s="13">
        <v>45474</v>
      </c>
      <c r="B74" t="s">
        <v>18</v>
      </c>
      <c r="C74" t="s">
        <v>19</v>
      </c>
      <c r="D74" t="s">
        <v>24</v>
      </c>
      <c r="E74" t="s">
        <v>19</v>
      </c>
      <c r="F74" t="s">
        <v>19</v>
      </c>
      <c r="G74" s="73">
        <v>122</v>
      </c>
      <c r="H74" s="74">
        <v>2</v>
      </c>
      <c r="I74" s="73">
        <v>8</v>
      </c>
      <c r="J74" s="74">
        <v>60</v>
      </c>
      <c r="K74" s="73">
        <v>40</v>
      </c>
    </row>
    <row r="75" spans="1:11" x14ac:dyDescent="0.25">
      <c r="A75" s="13">
        <v>45474</v>
      </c>
      <c r="B75" t="s">
        <v>18</v>
      </c>
      <c r="C75" t="s">
        <v>19</v>
      </c>
      <c r="D75" t="s">
        <v>20</v>
      </c>
      <c r="E75" t="s">
        <v>19</v>
      </c>
      <c r="F75" t="s">
        <v>19</v>
      </c>
      <c r="G75" s="73">
        <v>50</v>
      </c>
      <c r="H75" s="74">
        <v>1</v>
      </c>
      <c r="I75" s="73">
        <v>15</v>
      </c>
      <c r="J75" s="74">
        <v>30</v>
      </c>
      <c r="K75" s="73">
        <v>20</v>
      </c>
    </row>
    <row r="76" spans="1:11" x14ac:dyDescent="0.25">
      <c r="A76" s="13">
        <v>45474</v>
      </c>
      <c r="B76" t="s">
        <v>18</v>
      </c>
      <c r="C76" t="s">
        <v>19</v>
      </c>
      <c r="D76" t="s">
        <v>27</v>
      </c>
      <c r="E76" t="s">
        <v>19</v>
      </c>
      <c r="F76" t="s">
        <v>19</v>
      </c>
      <c r="G76" s="73">
        <v>116</v>
      </c>
      <c r="H76" s="74">
        <v>2</v>
      </c>
      <c r="I76" s="73">
        <v>14</v>
      </c>
      <c r="J76" s="74">
        <v>60</v>
      </c>
      <c r="K76" s="73">
        <v>40</v>
      </c>
    </row>
    <row r="77" spans="1:11" x14ac:dyDescent="0.25">
      <c r="A77" s="13">
        <v>45505</v>
      </c>
      <c r="B77" t="s">
        <v>22</v>
      </c>
      <c r="C77" t="s">
        <v>23</v>
      </c>
      <c r="D77" t="s">
        <v>20</v>
      </c>
      <c r="E77" t="s">
        <v>23</v>
      </c>
      <c r="F77" t="s">
        <v>23</v>
      </c>
      <c r="G77" s="73">
        <v>15</v>
      </c>
      <c r="H77" s="74">
        <v>4</v>
      </c>
      <c r="I77" s="73">
        <v>5</v>
      </c>
      <c r="J77" s="74">
        <v>0</v>
      </c>
      <c r="K77" s="73">
        <v>0</v>
      </c>
    </row>
    <row r="78" spans="1:11" x14ac:dyDescent="0.25">
      <c r="A78" s="13">
        <v>45505</v>
      </c>
      <c r="B78" t="s">
        <v>22</v>
      </c>
      <c r="C78" t="s">
        <v>23</v>
      </c>
      <c r="D78" t="s">
        <v>27</v>
      </c>
      <c r="E78" t="s">
        <v>23</v>
      </c>
      <c r="F78" t="s">
        <v>23</v>
      </c>
      <c r="G78" s="73">
        <v>4</v>
      </c>
      <c r="H78" s="74">
        <v>1</v>
      </c>
      <c r="I78" s="73">
        <v>1</v>
      </c>
      <c r="J78" s="74">
        <v>0</v>
      </c>
      <c r="K78" s="73">
        <v>0</v>
      </c>
    </row>
    <row r="79" spans="1:11" x14ac:dyDescent="0.25">
      <c r="A79" s="13">
        <v>45505</v>
      </c>
      <c r="B79" t="s">
        <v>22</v>
      </c>
      <c r="C79" t="s">
        <v>19</v>
      </c>
      <c r="D79" t="s">
        <v>24</v>
      </c>
      <c r="E79" t="s">
        <v>23</v>
      </c>
      <c r="F79" t="s">
        <v>23</v>
      </c>
      <c r="G79" s="73">
        <v>10</v>
      </c>
      <c r="H79" s="74">
        <v>2</v>
      </c>
      <c r="I79" s="73">
        <v>0</v>
      </c>
      <c r="J79" s="74">
        <v>0</v>
      </c>
      <c r="K79" s="73">
        <v>0</v>
      </c>
    </row>
    <row r="80" spans="1:11" x14ac:dyDescent="0.25">
      <c r="A80" s="13">
        <v>45505</v>
      </c>
      <c r="B80" t="s">
        <v>22</v>
      </c>
      <c r="C80" t="s">
        <v>19</v>
      </c>
      <c r="D80" t="s">
        <v>20</v>
      </c>
      <c r="E80" t="s">
        <v>23</v>
      </c>
      <c r="F80" t="s">
        <v>23</v>
      </c>
      <c r="G80" s="73">
        <v>5</v>
      </c>
      <c r="H80" s="74">
        <v>1</v>
      </c>
      <c r="I80" s="73">
        <v>0</v>
      </c>
      <c r="J80" s="74">
        <v>0</v>
      </c>
      <c r="K80" s="73">
        <v>0</v>
      </c>
    </row>
    <row r="81" spans="1:11" x14ac:dyDescent="0.25">
      <c r="A81" s="13">
        <v>45505</v>
      </c>
      <c r="B81" t="s">
        <v>22</v>
      </c>
      <c r="C81" t="s">
        <v>19</v>
      </c>
      <c r="D81" t="s">
        <v>27</v>
      </c>
      <c r="E81" t="s">
        <v>23</v>
      </c>
      <c r="F81" t="s">
        <v>23</v>
      </c>
      <c r="G81" s="73">
        <v>15</v>
      </c>
      <c r="H81" s="74">
        <v>3</v>
      </c>
      <c r="I81" s="73">
        <v>0</v>
      </c>
      <c r="J81" s="74">
        <v>0</v>
      </c>
      <c r="K81" s="73">
        <v>0</v>
      </c>
    </row>
    <row r="82" spans="1:11" x14ac:dyDescent="0.25">
      <c r="A82" s="13">
        <v>45505</v>
      </c>
      <c r="B82" t="s">
        <v>26</v>
      </c>
      <c r="C82" t="s">
        <v>23</v>
      </c>
      <c r="D82" t="s">
        <v>20</v>
      </c>
      <c r="E82" t="s">
        <v>23</v>
      </c>
      <c r="F82" t="s">
        <v>19</v>
      </c>
      <c r="G82" s="73">
        <v>105</v>
      </c>
      <c r="H82" s="74">
        <v>5</v>
      </c>
      <c r="I82" s="73">
        <v>45</v>
      </c>
      <c r="J82" s="74">
        <v>0</v>
      </c>
      <c r="K82" s="73">
        <v>100</v>
      </c>
    </row>
    <row r="83" spans="1:11" x14ac:dyDescent="0.25">
      <c r="A83" s="13">
        <v>45505</v>
      </c>
      <c r="B83" t="s">
        <v>26</v>
      </c>
      <c r="C83" t="s">
        <v>19</v>
      </c>
      <c r="D83" t="s">
        <v>24</v>
      </c>
      <c r="E83" t="s">
        <v>23</v>
      </c>
      <c r="F83" t="s">
        <v>19</v>
      </c>
      <c r="G83" s="73">
        <v>50</v>
      </c>
      <c r="H83" s="74">
        <v>3</v>
      </c>
      <c r="I83" s="73">
        <v>40</v>
      </c>
      <c r="J83" s="74">
        <v>0</v>
      </c>
      <c r="K83" s="73">
        <v>60</v>
      </c>
    </row>
    <row r="84" spans="1:11" x14ac:dyDescent="0.25">
      <c r="A84" s="13">
        <v>45505</v>
      </c>
      <c r="B84" t="s">
        <v>26</v>
      </c>
      <c r="C84" t="s">
        <v>19</v>
      </c>
      <c r="D84" t="s">
        <v>27</v>
      </c>
      <c r="E84" t="s">
        <v>23</v>
      </c>
      <c r="F84" t="s">
        <v>19</v>
      </c>
      <c r="G84" s="73">
        <v>33</v>
      </c>
      <c r="H84" s="74">
        <v>2</v>
      </c>
      <c r="I84" s="73">
        <v>27</v>
      </c>
      <c r="J84" s="74">
        <v>0</v>
      </c>
      <c r="K84" s="73">
        <v>40</v>
      </c>
    </row>
    <row r="85" spans="1:11" x14ac:dyDescent="0.25">
      <c r="A85" s="13">
        <v>45505</v>
      </c>
      <c r="B85" t="s">
        <v>18</v>
      </c>
      <c r="C85" t="s">
        <v>23</v>
      </c>
      <c r="D85" t="s">
        <v>20</v>
      </c>
      <c r="E85" t="s">
        <v>19</v>
      </c>
      <c r="F85" t="s">
        <v>19</v>
      </c>
      <c r="G85" s="73">
        <v>157</v>
      </c>
      <c r="H85" s="74">
        <v>3</v>
      </c>
      <c r="I85" s="73">
        <v>38</v>
      </c>
      <c r="J85" s="74">
        <v>90</v>
      </c>
      <c r="K85" s="73">
        <v>60</v>
      </c>
    </row>
    <row r="86" spans="1:11" x14ac:dyDescent="0.25">
      <c r="A86" s="13">
        <v>45505</v>
      </c>
      <c r="B86" t="s">
        <v>18</v>
      </c>
      <c r="C86" t="s">
        <v>23</v>
      </c>
      <c r="D86" t="s">
        <v>27</v>
      </c>
      <c r="E86" t="s">
        <v>19</v>
      </c>
      <c r="F86" t="s">
        <v>19</v>
      </c>
      <c r="G86" s="73">
        <v>103</v>
      </c>
      <c r="H86" s="74">
        <v>2</v>
      </c>
      <c r="I86" s="73">
        <v>27</v>
      </c>
      <c r="J86" s="74">
        <v>60</v>
      </c>
      <c r="K86" s="73">
        <v>40</v>
      </c>
    </row>
    <row r="87" spans="1:11" x14ac:dyDescent="0.25">
      <c r="A87" s="13">
        <v>45505</v>
      </c>
      <c r="B87" t="s">
        <v>18</v>
      </c>
      <c r="C87" t="s">
        <v>19</v>
      </c>
      <c r="D87" t="s">
        <v>24</v>
      </c>
      <c r="E87" t="s">
        <v>19</v>
      </c>
      <c r="F87" t="s">
        <v>19</v>
      </c>
      <c r="G87" s="73">
        <v>182</v>
      </c>
      <c r="H87" s="74">
        <v>3</v>
      </c>
      <c r="I87" s="73">
        <v>13</v>
      </c>
      <c r="J87" s="74">
        <v>90</v>
      </c>
      <c r="K87" s="73">
        <v>60</v>
      </c>
    </row>
    <row r="88" spans="1:11" x14ac:dyDescent="0.25">
      <c r="A88" s="13">
        <v>45505</v>
      </c>
      <c r="B88" t="s">
        <v>18</v>
      </c>
      <c r="C88" t="s">
        <v>19</v>
      </c>
      <c r="D88" t="s">
        <v>20</v>
      </c>
      <c r="E88" t="s">
        <v>19</v>
      </c>
      <c r="F88" t="s">
        <v>19</v>
      </c>
      <c r="G88" s="73">
        <v>50</v>
      </c>
      <c r="H88" s="74">
        <v>1</v>
      </c>
      <c r="I88" s="73">
        <v>15</v>
      </c>
      <c r="J88" s="74">
        <v>30</v>
      </c>
      <c r="K88" s="73">
        <v>20</v>
      </c>
    </row>
    <row r="89" spans="1:11" x14ac:dyDescent="0.25">
      <c r="A89" s="13">
        <v>45505</v>
      </c>
      <c r="B89" t="s">
        <v>18</v>
      </c>
      <c r="C89" t="s">
        <v>19</v>
      </c>
      <c r="D89" t="s">
        <v>27</v>
      </c>
      <c r="E89" t="s">
        <v>19</v>
      </c>
      <c r="F89" t="s">
        <v>19</v>
      </c>
      <c r="G89" s="73">
        <v>58</v>
      </c>
      <c r="H89" s="74">
        <v>1</v>
      </c>
      <c r="I89" s="73">
        <v>7</v>
      </c>
      <c r="J89" s="74">
        <v>30</v>
      </c>
      <c r="K89" s="73">
        <v>20</v>
      </c>
    </row>
    <row r="90" spans="1:11" x14ac:dyDescent="0.25">
      <c r="A90" s="13">
        <v>45536</v>
      </c>
      <c r="B90" t="s">
        <v>22</v>
      </c>
      <c r="C90" t="s">
        <v>23</v>
      </c>
      <c r="D90" t="s">
        <v>20</v>
      </c>
      <c r="E90" t="s">
        <v>23</v>
      </c>
      <c r="F90" t="s">
        <v>23</v>
      </c>
      <c r="G90" s="73">
        <v>15</v>
      </c>
      <c r="H90" s="74">
        <v>4</v>
      </c>
      <c r="I90" s="73">
        <v>5</v>
      </c>
      <c r="J90" s="74">
        <v>0</v>
      </c>
      <c r="K90" s="73">
        <v>0</v>
      </c>
    </row>
    <row r="91" spans="1:11" x14ac:dyDescent="0.25">
      <c r="A91" s="13">
        <v>45536</v>
      </c>
      <c r="B91" t="s">
        <v>22</v>
      </c>
      <c r="C91" t="s">
        <v>23</v>
      </c>
      <c r="D91" t="s">
        <v>27</v>
      </c>
      <c r="E91" t="s">
        <v>23</v>
      </c>
      <c r="F91" t="s">
        <v>23</v>
      </c>
      <c r="G91" s="73">
        <v>4</v>
      </c>
      <c r="H91" s="74">
        <v>1</v>
      </c>
      <c r="I91" s="73">
        <v>1</v>
      </c>
      <c r="J91" s="74">
        <v>0</v>
      </c>
      <c r="K91" s="73">
        <v>0</v>
      </c>
    </row>
    <row r="92" spans="1:11" x14ac:dyDescent="0.25">
      <c r="A92" s="13">
        <v>45536</v>
      </c>
      <c r="B92" t="s">
        <v>22</v>
      </c>
      <c r="C92" t="s">
        <v>19</v>
      </c>
      <c r="D92" t="s">
        <v>24</v>
      </c>
      <c r="E92" t="s">
        <v>23</v>
      </c>
      <c r="F92" t="s">
        <v>23</v>
      </c>
      <c r="G92" s="73">
        <v>10</v>
      </c>
      <c r="H92" s="74">
        <v>2</v>
      </c>
      <c r="I92" s="73">
        <v>0</v>
      </c>
      <c r="J92" s="74">
        <v>0</v>
      </c>
      <c r="K92" s="73">
        <v>0</v>
      </c>
    </row>
    <row r="93" spans="1:11" x14ac:dyDescent="0.25">
      <c r="A93" s="13">
        <v>45536</v>
      </c>
      <c r="B93" t="s">
        <v>22</v>
      </c>
      <c r="C93" t="s">
        <v>19</v>
      </c>
      <c r="D93" t="s">
        <v>20</v>
      </c>
      <c r="E93" t="s">
        <v>23</v>
      </c>
      <c r="F93" t="s">
        <v>23</v>
      </c>
      <c r="G93" s="73">
        <v>5</v>
      </c>
      <c r="H93" s="74">
        <v>1</v>
      </c>
      <c r="I93" s="73">
        <v>0</v>
      </c>
      <c r="J93" s="74">
        <v>0</v>
      </c>
      <c r="K93" s="73">
        <v>0</v>
      </c>
    </row>
    <row r="94" spans="1:11" x14ac:dyDescent="0.25">
      <c r="A94" s="13">
        <v>45536</v>
      </c>
      <c r="B94" t="s">
        <v>22</v>
      </c>
      <c r="C94" t="s">
        <v>19</v>
      </c>
      <c r="D94" t="s">
        <v>27</v>
      </c>
      <c r="E94" t="s">
        <v>23</v>
      </c>
      <c r="F94" t="s">
        <v>23</v>
      </c>
      <c r="G94" s="73">
        <v>10</v>
      </c>
      <c r="H94" s="74">
        <v>2</v>
      </c>
      <c r="I94" s="73">
        <v>0</v>
      </c>
      <c r="J94" s="74">
        <v>0</v>
      </c>
      <c r="K94" s="73">
        <v>0</v>
      </c>
    </row>
    <row r="95" spans="1:11" x14ac:dyDescent="0.25">
      <c r="A95" s="13">
        <v>45536</v>
      </c>
      <c r="B95" t="s">
        <v>26</v>
      </c>
      <c r="C95" t="s">
        <v>23</v>
      </c>
      <c r="D95" t="s">
        <v>20</v>
      </c>
      <c r="E95" t="s">
        <v>23</v>
      </c>
      <c r="F95" t="s">
        <v>19</v>
      </c>
      <c r="G95" s="73">
        <v>105</v>
      </c>
      <c r="H95" s="74">
        <v>5</v>
      </c>
      <c r="I95" s="73">
        <v>45</v>
      </c>
      <c r="J95" s="74">
        <v>0</v>
      </c>
      <c r="K95" s="73">
        <v>100</v>
      </c>
    </row>
    <row r="96" spans="1:11" x14ac:dyDescent="0.25">
      <c r="A96" s="13">
        <v>45536</v>
      </c>
      <c r="B96" t="s">
        <v>26</v>
      </c>
      <c r="C96" t="s">
        <v>19</v>
      </c>
      <c r="D96" t="s">
        <v>24</v>
      </c>
      <c r="E96" t="s">
        <v>23</v>
      </c>
      <c r="F96" t="s">
        <v>19</v>
      </c>
      <c r="G96" s="73">
        <v>50</v>
      </c>
      <c r="H96" s="74">
        <v>3</v>
      </c>
      <c r="I96" s="73">
        <v>40</v>
      </c>
      <c r="J96" s="74">
        <v>0</v>
      </c>
      <c r="K96" s="73">
        <v>60</v>
      </c>
    </row>
    <row r="97" spans="1:11" x14ac:dyDescent="0.25">
      <c r="A97" s="13">
        <v>45536</v>
      </c>
      <c r="B97" t="s">
        <v>26</v>
      </c>
      <c r="C97" t="s">
        <v>19</v>
      </c>
      <c r="D97" t="s">
        <v>27</v>
      </c>
      <c r="E97" t="s">
        <v>23</v>
      </c>
      <c r="F97" t="s">
        <v>19</v>
      </c>
      <c r="G97" s="73">
        <v>33</v>
      </c>
      <c r="H97" s="74">
        <v>2</v>
      </c>
      <c r="I97" s="73">
        <v>27</v>
      </c>
      <c r="J97" s="74">
        <v>0</v>
      </c>
      <c r="K97" s="73">
        <v>40</v>
      </c>
    </row>
    <row r="98" spans="1:11" x14ac:dyDescent="0.25">
      <c r="A98" s="13">
        <v>45536</v>
      </c>
      <c r="B98" t="s">
        <v>18</v>
      </c>
      <c r="C98" t="s">
        <v>23</v>
      </c>
      <c r="D98" t="s">
        <v>20</v>
      </c>
      <c r="E98" t="s">
        <v>19</v>
      </c>
      <c r="F98" t="s">
        <v>19</v>
      </c>
      <c r="G98" s="73">
        <v>157</v>
      </c>
      <c r="H98" s="74">
        <v>3</v>
      </c>
      <c r="I98" s="73">
        <v>38</v>
      </c>
      <c r="J98" s="74">
        <v>90</v>
      </c>
      <c r="K98" s="73">
        <v>60</v>
      </c>
    </row>
    <row r="99" spans="1:11" x14ac:dyDescent="0.25">
      <c r="A99" s="13">
        <v>45536</v>
      </c>
      <c r="B99" t="s">
        <v>18</v>
      </c>
      <c r="C99" t="s">
        <v>23</v>
      </c>
      <c r="D99" t="s">
        <v>27</v>
      </c>
      <c r="E99" t="s">
        <v>19</v>
      </c>
      <c r="F99" t="s">
        <v>19</v>
      </c>
      <c r="G99" s="73">
        <v>103</v>
      </c>
      <c r="H99" s="74">
        <v>2</v>
      </c>
      <c r="I99" s="73">
        <v>27</v>
      </c>
      <c r="J99" s="74">
        <v>60</v>
      </c>
      <c r="K99" s="73">
        <v>40</v>
      </c>
    </row>
    <row r="100" spans="1:11" x14ac:dyDescent="0.25">
      <c r="A100" s="13">
        <v>45536</v>
      </c>
      <c r="B100" t="s">
        <v>18</v>
      </c>
      <c r="C100" t="s">
        <v>19</v>
      </c>
      <c r="D100" t="s">
        <v>24</v>
      </c>
      <c r="E100" t="s">
        <v>19</v>
      </c>
      <c r="F100" t="s">
        <v>19</v>
      </c>
      <c r="G100" s="73">
        <v>122</v>
      </c>
      <c r="H100" s="74">
        <v>2</v>
      </c>
      <c r="I100" s="73">
        <v>8</v>
      </c>
      <c r="J100" s="74">
        <v>60</v>
      </c>
      <c r="K100" s="73">
        <v>40</v>
      </c>
    </row>
    <row r="101" spans="1:11" x14ac:dyDescent="0.25">
      <c r="A101" s="13">
        <v>45536</v>
      </c>
      <c r="B101" t="s">
        <v>18</v>
      </c>
      <c r="C101" t="s">
        <v>19</v>
      </c>
      <c r="D101" t="s">
        <v>20</v>
      </c>
      <c r="E101" t="s">
        <v>19</v>
      </c>
      <c r="F101" t="s">
        <v>19</v>
      </c>
      <c r="G101" s="73">
        <v>50</v>
      </c>
      <c r="H101" s="74">
        <v>1</v>
      </c>
      <c r="I101" s="73">
        <v>15</v>
      </c>
      <c r="J101" s="74">
        <v>30</v>
      </c>
      <c r="K101" s="73">
        <v>20</v>
      </c>
    </row>
    <row r="102" spans="1:11" x14ac:dyDescent="0.25">
      <c r="A102" s="13">
        <v>45536</v>
      </c>
      <c r="B102" t="s">
        <v>18</v>
      </c>
      <c r="C102" t="s">
        <v>19</v>
      </c>
      <c r="D102" t="s">
        <v>27</v>
      </c>
      <c r="E102" t="s">
        <v>19</v>
      </c>
      <c r="F102" t="s">
        <v>19</v>
      </c>
      <c r="G102" s="73">
        <v>116</v>
      </c>
      <c r="H102" s="74">
        <v>2</v>
      </c>
      <c r="I102" s="73">
        <v>14</v>
      </c>
      <c r="J102" s="74">
        <v>60</v>
      </c>
      <c r="K102" s="73">
        <v>40</v>
      </c>
    </row>
    <row r="103" spans="1:11" x14ac:dyDescent="0.25">
      <c r="A103" s="13">
        <v>45566</v>
      </c>
      <c r="B103" t="s">
        <v>22</v>
      </c>
      <c r="C103" t="s">
        <v>23</v>
      </c>
      <c r="D103" t="s">
        <v>20</v>
      </c>
      <c r="E103" t="s">
        <v>23</v>
      </c>
      <c r="F103" t="s">
        <v>23</v>
      </c>
      <c r="G103" s="73">
        <v>19</v>
      </c>
      <c r="H103" s="74">
        <v>5</v>
      </c>
      <c r="I103" s="73">
        <v>6</v>
      </c>
      <c r="J103" s="74">
        <v>0</v>
      </c>
      <c r="K103" s="73">
        <v>0</v>
      </c>
    </row>
    <row r="104" spans="1:11" x14ac:dyDescent="0.25">
      <c r="A104" s="13">
        <v>45566</v>
      </c>
      <c r="B104" t="s">
        <v>22</v>
      </c>
      <c r="C104" t="s">
        <v>19</v>
      </c>
      <c r="D104" t="s">
        <v>24</v>
      </c>
      <c r="E104" t="s">
        <v>23</v>
      </c>
      <c r="F104" t="s">
        <v>23</v>
      </c>
      <c r="G104" s="73">
        <v>15</v>
      </c>
      <c r="H104" s="74">
        <v>3</v>
      </c>
      <c r="I104" s="73">
        <v>0</v>
      </c>
      <c r="J104" s="74">
        <v>0</v>
      </c>
      <c r="K104" s="73">
        <v>0</v>
      </c>
    </row>
    <row r="105" spans="1:11" x14ac:dyDescent="0.25">
      <c r="A105" s="13">
        <v>45566</v>
      </c>
      <c r="B105" t="s">
        <v>22</v>
      </c>
      <c r="C105" t="s">
        <v>19</v>
      </c>
      <c r="D105" t="s">
        <v>27</v>
      </c>
      <c r="E105" t="s">
        <v>23</v>
      </c>
      <c r="F105" t="s">
        <v>23</v>
      </c>
      <c r="G105" s="73">
        <v>10</v>
      </c>
      <c r="H105" s="74">
        <v>2</v>
      </c>
      <c r="I105" s="73">
        <v>0</v>
      </c>
      <c r="J105" s="74">
        <v>0</v>
      </c>
      <c r="K105" s="73">
        <v>0</v>
      </c>
    </row>
    <row r="106" spans="1:11" x14ac:dyDescent="0.25">
      <c r="A106" s="13">
        <v>45566</v>
      </c>
      <c r="B106" t="s">
        <v>26</v>
      </c>
      <c r="C106" t="s">
        <v>23</v>
      </c>
      <c r="D106" t="s">
        <v>20</v>
      </c>
      <c r="E106" t="s">
        <v>23</v>
      </c>
      <c r="F106" t="s">
        <v>19</v>
      </c>
      <c r="G106" s="73">
        <v>100</v>
      </c>
      <c r="H106" s="74">
        <v>5</v>
      </c>
      <c r="I106" s="73">
        <v>50</v>
      </c>
      <c r="J106" s="74">
        <v>0</v>
      </c>
      <c r="K106" s="73">
        <v>100</v>
      </c>
    </row>
    <row r="107" spans="1:11" x14ac:dyDescent="0.25">
      <c r="A107" s="13">
        <v>45566</v>
      </c>
      <c r="B107" t="s">
        <v>26</v>
      </c>
      <c r="C107" t="s">
        <v>19</v>
      </c>
      <c r="D107" t="s">
        <v>24</v>
      </c>
      <c r="E107" t="s">
        <v>23</v>
      </c>
      <c r="F107" t="s">
        <v>19</v>
      </c>
      <c r="G107" s="73">
        <v>45</v>
      </c>
      <c r="H107" s="74">
        <v>3</v>
      </c>
      <c r="I107" s="73">
        <v>45</v>
      </c>
      <c r="J107" s="74">
        <v>0</v>
      </c>
      <c r="K107" s="73">
        <v>60</v>
      </c>
    </row>
    <row r="108" spans="1:11" x14ac:dyDescent="0.25">
      <c r="A108" s="13">
        <v>45566</v>
      </c>
      <c r="B108" t="s">
        <v>26</v>
      </c>
      <c r="C108" t="s">
        <v>19</v>
      </c>
      <c r="D108" t="s">
        <v>27</v>
      </c>
      <c r="E108" t="s">
        <v>23</v>
      </c>
      <c r="F108" t="s">
        <v>19</v>
      </c>
      <c r="G108" s="73">
        <v>33</v>
      </c>
      <c r="H108" s="74">
        <v>2</v>
      </c>
      <c r="I108" s="73">
        <v>27</v>
      </c>
      <c r="J108" s="74">
        <v>0</v>
      </c>
      <c r="K108" s="73">
        <v>40</v>
      </c>
    </row>
    <row r="109" spans="1:11" x14ac:dyDescent="0.25">
      <c r="A109" s="13">
        <v>45566</v>
      </c>
      <c r="B109" t="s">
        <v>18</v>
      </c>
      <c r="C109" t="s">
        <v>23</v>
      </c>
      <c r="D109" t="s">
        <v>20</v>
      </c>
      <c r="E109" t="s">
        <v>19</v>
      </c>
      <c r="F109" t="s">
        <v>19</v>
      </c>
      <c r="G109" s="73">
        <v>314</v>
      </c>
      <c r="H109" s="74">
        <v>6</v>
      </c>
      <c r="I109" s="73">
        <v>76</v>
      </c>
      <c r="J109" s="74">
        <v>180</v>
      </c>
      <c r="K109" s="73">
        <v>120</v>
      </c>
    </row>
    <row r="110" spans="1:11" x14ac:dyDescent="0.25">
      <c r="A110" s="13">
        <v>45566</v>
      </c>
      <c r="B110" t="s">
        <v>18</v>
      </c>
      <c r="C110" t="s">
        <v>19</v>
      </c>
      <c r="D110" t="s">
        <v>24</v>
      </c>
      <c r="E110" t="s">
        <v>19</v>
      </c>
      <c r="F110" t="s">
        <v>19</v>
      </c>
      <c r="G110" s="73">
        <v>122</v>
      </c>
      <c r="H110" s="74">
        <v>2</v>
      </c>
      <c r="I110" s="73">
        <v>8</v>
      </c>
      <c r="J110" s="74">
        <v>60</v>
      </c>
      <c r="K110" s="73">
        <v>40</v>
      </c>
    </row>
    <row r="111" spans="1:11" x14ac:dyDescent="0.25">
      <c r="A111" s="13">
        <v>45566</v>
      </c>
      <c r="B111" t="s">
        <v>18</v>
      </c>
      <c r="C111" t="s">
        <v>19</v>
      </c>
      <c r="D111" t="s">
        <v>27</v>
      </c>
      <c r="E111" t="s">
        <v>19</v>
      </c>
      <c r="F111" t="s">
        <v>19</v>
      </c>
      <c r="G111" s="73">
        <v>174</v>
      </c>
      <c r="H111" s="74">
        <v>3</v>
      </c>
      <c r="I111" s="73">
        <v>21</v>
      </c>
      <c r="J111" s="74">
        <v>90</v>
      </c>
      <c r="K111" s="73">
        <v>60</v>
      </c>
    </row>
    <row r="112" spans="1:11" x14ac:dyDescent="0.25">
      <c r="A112" s="13">
        <v>45597</v>
      </c>
      <c r="B112" t="s">
        <v>22</v>
      </c>
      <c r="C112" t="s">
        <v>23</v>
      </c>
      <c r="D112" t="s">
        <v>20</v>
      </c>
      <c r="E112" t="s">
        <v>23</v>
      </c>
      <c r="F112" t="s">
        <v>23</v>
      </c>
      <c r="G112" s="73">
        <v>15</v>
      </c>
      <c r="H112" s="74">
        <v>4</v>
      </c>
      <c r="I112" s="73">
        <v>5</v>
      </c>
      <c r="J112" s="74">
        <v>0</v>
      </c>
      <c r="K112" s="73">
        <v>0</v>
      </c>
    </row>
    <row r="113" spans="1:11" x14ac:dyDescent="0.25">
      <c r="A113" s="13">
        <v>45597</v>
      </c>
      <c r="B113" t="s">
        <v>22</v>
      </c>
      <c r="C113" t="s">
        <v>23</v>
      </c>
      <c r="D113" t="s">
        <v>27</v>
      </c>
      <c r="E113" t="s">
        <v>23</v>
      </c>
      <c r="F113" t="s">
        <v>23</v>
      </c>
      <c r="G113" s="73">
        <v>4</v>
      </c>
      <c r="H113" s="74">
        <v>1</v>
      </c>
      <c r="I113" s="73">
        <v>1</v>
      </c>
      <c r="J113" s="74">
        <v>0</v>
      </c>
      <c r="K113" s="73">
        <v>0</v>
      </c>
    </row>
    <row r="114" spans="1:11" x14ac:dyDescent="0.25">
      <c r="A114" s="13">
        <v>45597</v>
      </c>
      <c r="B114" t="s">
        <v>22</v>
      </c>
      <c r="C114" t="s">
        <v>19</v>
      </c>
      <c r="D114" t="s">
        <v>24</v>
      </c>
      <c r="E114" t="s">
        <v>23</v>
      </c>
      <c r="F114" t="s">
        <v>23</v>
      </c>
      <c r="G114" s="73">
        <v>10</v>
      </c>
      <c r="H114" s="74">
        <v>2</v>
      </c>
      <c r="I114" s="73">
        <v>0</v>
      </c>
      <c r="J114" s="74">
        <v>0</v>
      </c>
      <c r="K114" s="73">
        <v>0</v>
      </c>
    </row>
    <row r="115" spans="1:11" x14ac:dyDescent="0.25">
      <c r="A115" s="13">
        <v>45597</v>
      </c>
      <c r="B115" t="s">
        <v>22</v>
      </c>
      <c r="C115" t="s">
        <v>19</v>
      </c>
      <c r="D115" t="s">
        <v>20</v>
      </c>
      <c r="E115" t="s">
        <v>23</v>
      </c>
      <c r="F115" t="s">
        <v>23</v>
      </c>
      <c r="G115" s="73">
        <v>5</v>
      </c>
      <c r="H115" s="74">
        <v>1</v>
      </c>
      <c r="I115" s="73">
        <v>0</v>
      </c>
      <c r="J115" s="74">
        <v>0</v>
      </c>
      <c r="K115" s="73">
        <v>0</v>
      </c>
    </row>
    <row r="116" spans="1:11" x14ac:dyDescent="0.25">
      <c r="A116" s="13">
        <v>45597</v>
      </c>
      <c r="B116" t="s">
        <v>22</v>
      </c>
      <c r="C116" t="s">
        <v>19</v>
      </c>
      <c r="D116" t="s">
        <v>27</v>
      </c>
      <c r="E116" t="s">
        <v>23</v>
      </c>
      <c r="F116" t="s">
        <v>23</v>
      </c>
      <c r="G116" s="73">
        <v>10</v>
      </c>
      <c r="H116" s="74">
        <v>2</v>
      </c>
      <c r="I116" s="73">
        <v>0</v>
      </c>
      <c r="J116" s="74">
        <v>0</v>
      </c>
      <c r="K116" s="73">
        <v>0</v>
      </c>
    </row>
    <row r="117" spans="1:11" x14ac:dyDescent="0.25">
      <c r="A117" s="13">
        <v>45597</v>
      </c>
      <c r="B117" t="s">
        <v>26</v>
      </c>
      <c r="C117" t="s">
        <v>23</v>
      </c>
      <c r="D117" t="s">
        <v>20</v>
      </c>
      <c r="E117" t="s">
        <v>23</v>
      </c>
      <c r="F117" t="s">
        <v>19</v>
      </c>
      <c r="G117" s="73">
        <v>105</v>
      </c>
      <c r="H117" s="74">
        <v>5</v>
      </c>
      <c r="I117" s="73">
        <v>45</v>
      </c>
      <c r="J117" s="74">
        <v>0</v>
      </c>
      <c r="K117" s="73">
        <v>100</v>
      </c>
    </row>
    <row r="118" spans="1:11" x14ac:dyDescent="0.25">
      <c r="A118" s="13">
        <v>45597</v>
      </c>
      <c r="B118" t="s">
        <v>26</v>
      </c>
      <c r="C118" t="s">
        <v>19</v>
      </c>
      <c r="D118" t="s">
        <v>24</v>
      </c>
      <c r="E118" t="s">
        <v>23</v>
      </c>
      <c r="F118" t="s">
        <v>19</v>
      </c>
      <c r="G118" s="73">
        <v>35</v>
      </c>
      <c r="H118" s="74">
        <v>2</v>
      </c>
      <c r="I118" s="73">
        <v>25</v>
      </c>
      <c r="J118" s="74">
        <v>0</v>
      </c>
      <c r="K118" s="73">
        <v>40</v>
      </c>
    </row>
    <row r="119" spans="1:11" x14ac:dyDescent="0.25">
      <c r="A119" s="13">
        <v>45597</v>
      </c>
      <c r="B119" t="s">
        <v>26</v>
      </c>
      <c r="C119" t="s">
        <v>19</v>
      </c>
      <c r="D119" t="s">
        <v>27</v>
      </c>
      <c r="E119" t="s">
        <v>23</v>
      </c>
      <c r="F119" t="s">
        <v>19</v>
      </c>
      <c r="G119" s="73">
        <v>48</v>
      </c>
      <c r="H119" s="74">
        <v>3</v>
      </c>
      <c r="I119" s="73">
        <v>42</v>
      </c>
      <c r="J119" s="74">
        <v>0</v>
      </c>
      <c r="K119" s="73">
        <v>60</v>
      </c>
    </row>
    <row r="120" spans="1:11" x14ac:dyDescent="0.25">
      <c r="A120" s="13">
        <v>45597</v>
      </c>
      <c r="B120" t="s">
        <v>18</v>
      </c>
      <c r="C120" t="s">
        <v>23</v>
      </c>
      <c r="D120" t="s">
        <v>20</v>
      </c>
      <c r="E120" t="s">
        <v>19</v>
      </c>
      <c r="F120" t="s">
        <v>19</v>
      </c>
      <c r="G120" s="73">
        <v>157</v>
      </c>
      <c r="H120" s="74">
        <v>3</v>
      </c>
      <c r="I120" s="73">
        <v>38</v>
      </c>
      <c r="J120" s="74">
        <v>90</v>
      </c>
      <c r="K120" s="73">
        <v>60</v>
      </c>
    </row>
    <row r="121" spans="1:11" x14ac:dyDescent="0.25">
      <c r="A121" s="13">
        <v>45597</v>
      </c>
      <c r="B121" t="s">
        <v>18</v>
      </c>
      <c r="C121" t="s">
        <v>23</v>
      </c>
      <c r="D121" t="s">
        <v>27</v>
      </c>
      <c r="E121" t="s">
        <v>19</v>
      </c>
      <c r="F121" t="s">
        <v>19</v>
      </c>
      <c r="G121" s="73">
        <v>103</v>
      </c>
      <c r="H121" s="74">
        <v>2</v>
      </c>
      <c r="I121" s="73">
        <v>27</v>
      </c>
      <c r="J121" s="74">
        <v>60</v>
      </c>
      <c r="K121" s="73">
        <v>40</v>
      </c>
    </row>
    <row r="122" spans="1:11" x14ac:dyDescent="0.25">
      <c r="A122" s="13">
        <v>45597</v>
      </c>
      <c r="B122" t="s">
        <v>18</v>
      </c>
      <c r="C122" t="s">
        <v>19</v>
      </c>
      <c r="D122" t="s">
        <v>24</v>
      </c>
      <c r="E122" t="s">
        <v>19</v>
      </c>
      <c r="F122" t="s">
        <v>19</v>
      </c>
      <c r="G122" s="73">
        <v>184</v>
      </c>
      <c r="H122" s="74">
        <v>3</v>
      </c>
      <c r="I122" s="73">
        <v>11</v>
      </c>
      <c r="J122" s="74">
        <v>90</v>
      </c>
      <c r="K122" s="73">
        <v>60</v>
      </c>
    </row>
    <row r="123" spans="1:11" x14ac:dyDescent="0.25">
      <c r="A123" s="13">
        <v>45597</v>
      </c>
      <c r="B123" t="s">
        <v>18</v>
      </c>
      <c r="C123" t="s">
        <v>19</v>
      </c>
      <c r="D123" t="s">
        <v>20</v>
      </c>
      <c r="E123" t="s">
        <v>19</v>
      </c>
      <c r="F123" t="s">
        <v>19</v>
      </c>
      <c r="G123" s="73">
        <v>50</v>
      </c>
      <c r="H123" s="74">
        <v>1</v>
      </c>
      <c r="I123" s="73">
        <v>15</v>
      </c>
      <c r="J123" s="74">
        <v>30</v>
      </c>
      <c r="K123" s="73">
        <v>20</v>
      </c>
    </row>
    <row r="124" spans="1:11" x14ac:dyDescent="0.25">
      <c r="A124" s="13">
        <v>45597</v>
      </c>
      <c r="B124" t="s">
        <v>18</v>
      </c>
      <c r="C124" t="s">
        <v>19</v>
      </c>
      <c r="D124" t="s">
        <v>27</v>
      </c>
      <c r="E124" t="s">
        <v>19</v>
      </c>
      <c r="F124" t="s">
        <v>19</v>
      </c>
      <c r="G124" s="73">
        <v>58</v>
      </c>
      <c r="H124" s="74">
        <v>1</v>
      </c>
      <c r="I124" s="73">
        <v>7</v>
      </c>
      <c r="J124" s="74">
        <v>30</v>
      </c>
      <c r="K124" s="73">
        <v>20</v>
      </c>
    </row>
    <row r="125" spans="1:11" x14ac:dyDescent="0.25">
      <c r="A125" s="13">
        <v>45627</v>
      </c>
      <c r="B125" t="s">
        <v>22</v>
      </c>
      <c r="C125" t="s">
        <v>23</v>
      </c>
      <c r="D125" t="s">
        <v>20</v>
      </c>
      <c r="E125" t="s">
        <v>23</v>
      </c>
      <c r="F125" t="s">
        <v>23</v>
      </c>
      <c r="G125" s="73">
        <v>11</v>
      </c>
      <c r="H125" s="74">
        <v>3</v>
      </c>
      <c r="I125" s="73">
        <v>4</v>
      </c>
      <c r="J125" s="74">
        <v>0</v>
      </c>
      <c r="K125" s="73">
        <v>0</v>
      </c>
    </row>
    <row r="126" spans="1:11" x14ac:dyDescent="0.25">
      <c r="A126" s="13">
        <v>45627</v>
      </c>
      <c r="B126" t="s">
        <v>22</v>
      </c>
      <c r="C126" t="s">
        <v>19</v>
      </c>
      <c r="D126" t="s">
        <v>24</v>
      </c>
      <c r="E126" t="s">
        <v>23</v>
      </c>
      <c r="F126" t="s">
        <v>23</v>
      </c>
      <c r="G126" s="73">
        <v>5</v>
      </c>
      <c r="H126" s="74">
        <v>1</v>
      </c>
      <c r="I126" s="73">
        <v>0</v>
      </c>
      <c r="J126" s="74">
        <v>0</v>
      </c>
      <c r="K126" s="73">
        <v>0</v>
      </c>
    </row>
    <row r="127" spans="1:11" x14ac:dyDescent="0.25">
      <c r="A127" s="13">
        <v>45627</v>
      </c>
      <c r="B127" t="s">
        <v>22</v>
      </c>
      <c r="C127" t="s">
        <v>19</v>
      </c>
      <c r="D127" t="s">
        <v>27</v>
      </c>
      <c r="E127" t="s">
        <v>23</v>
      </c>
      <c r="F127" t="s">
        <v>23</v>
      </c>
      <c r="G127" s="73">
        <v>10</v>
      </c>
      <c r="H127" s="74">
        <v>2</v>
      </c>
      <c r="I127" s="73">
        <v>0</v>
      </c>
      <c r="J127" s="74">
        <v>0</v>
      </c>
      <c r="K127" s="73">
        <v>0</v>
      </c>
    </row>
    <row r="128" spans="1:11" x14ac:dyDescent="0.25">
      <c r="A128" s="13">
        <v>45627</v>
      </c>
      <c r="B128" t="s">
        <v>26</v>
      </c>
      <c r="C128" t="s">
        <v>23</v>
      </c>
      <c r="D128" t="s">
        <v>20</v>
      </c>
      <c r="E128" t="s">
        <v>23</v>
      </c>
      <c r="F128" t="s">
        <v>19</v>
      </c>
      <c r="G128" s="73">
        <v>40</v>
      </c>
      <c r="H128" s="74">
        <v>2</v>
      </c>
      <c r="I128" s="73">
        <v>20</v>
      </c>
      <c r="J128" s="74">
        <v>0</v>
      </c>
      <c r="K128" s="73">
        <v>40</v>
      </c>
    </row>
    <row r="129" spans="1:11" x14ac:dyDescent="0.25">
      <c r="A129" s="13">
        <v>45627</v>
      </c>
      <c r="B129" t="s">
        <v>26</v>
      </c>
      <c r="C129" t="s">
        <v>19</v>
      </c>
      <c r="D129" t="s">
        <v>24</v>
      </c>
      <c r="E129" t="s">
        <v>23</v>
      </c>
      <c r="F129" t="s">
        <v>19</v>
      </c>
      <c r="G129" s="73">
        <v>30</v>
      </c>
      <c r="H129" s="74">
        <v>2</v>
      </c>
      <c r="I129" s="73">
        <v>30</v>
      </c>
      <c r="J129" s="74">
        <v>0</v>
      </c>
      <c r="K129" s="73">
        <v>40</v>
      </c>
    </row>
    <row r="130" spans="1:11" x14ac:dyDescent="0.25">
      <c r="A130" s="13">
        <v>45627</v>
      </c>
      <c r="B130" t="s">
        <v>26</v>
      </c>
      <c r="C130" t="s">
        <v>19</v>
      </c>
      <c r="D130" t="s">
        <v>27</v>
      </c>
      <c r="E130" t="s">
        <v>23</v>
      </c>
      <c r="F130" t="s">
        <v>19</v>
      </c>
      <c r="G130" s="73">
        <v>18</v>
      </c>
      <c r="H130" s="74">
        <v>1</v>
      </c>
      <c r="I130" s="73">
        <v>12</v>
      </c>
      <c r="J130" s="74">
        <v>0</v>
      </c>
      <c r="K130" s="73">
        <v>20</v>
      </c>
    </row>
    <row r="131" spans="1:11" x14ac:dyDescent="0.25">
      <c r="A131" s="13">
        <v>45627</v>
      </c>
      <c r="B131" t="s">
        <v>18</v>
      </c>
      <c r="C131" t="s">
        <v>23</v>
      </c>
      <c r="D131" t="s">
        <v>20</v>
      </c>
      <c r="E131" t="s">
        <v>19</v>
      </c>
      <c r="F131" t="s">
        <v>19</v>
      </c>
      <c r="G131" s="73">
        <v>157</v>
      </c>
      <c r="H131" s="74">
        <v>3</v>
      </c>
      <c r="I131" s="73">
        <v>38</v>
      </c>
      <c r="J131" s="74">
        <v>90</v>
      </c>
      <c r="K131" s="73">
        <v>60</v>
      </c>
    </row>
    <row r="132" spans="1:11" x14ac:dyDescent="0.25">
      <c r="A132" s="13">
        <v>45627</v>
      </c>
      <c r="B132" t="s">
        <v>18</v>
      </c>
      <c r="C132" t="s">
        <v>19</v>
      </c>
      <c r="D132" t="s">
        <v>24</v>
      </c>
      <c r="E132" t="s">
        <v>19</v>
      </c>
      <c r="F132" t="s">
        <v>19</v>
      </c>
      <c r="G132" s="73">
        <v>60</v>
      </c>
      <c r="H132" s="74">
        <v>1</v>
      </c>
      <c r="I132" s="73">
        <v>5</v>
      </c>
      <c r="J132" s="74">
        <v>30</v>
      </c>
      <c r="K132" s="73">
        <v>20</v>
      </c>
    </row>
    <row r="133" spans="1:11" x14ac:dyDescent="0.25">
      <c r="A133" s="13">
        <v>45627</v>
      </c>
      <c r="B133" t="s">
        <v>18</v>
      </c>
      <c r="C133" t="s">
        <v>19</v>
      </c>
      <c r="D133" t="s">
        <v>27</v>
      </c>
      <c r="E133" t="s">
        <v>19</v>
      </c>
      <c r="F133" t="s">
        <v>19</v>
      </c>
      <c r="G133" s="73">
        <v>58</v>
      </c>
      <c r="H133" s="74">
        <v>1</v>
      </c>
      <c r="I133" s="73">
        <v>7</v>
      </c>
      <c r="J133" s="74">
        <v>30</v>
      </c>
      <c r="K133" s="73">
        <v>20</v>
      </c>
    </row>
    <row r="134" spans="1:11" x14ac:dyDescent="0.25">
      <c r="A134" s="13" t="s">
        <v>395</v>
      </c>
      <c r="G134" s="73">
        <v>7633</v>
      </c>
      <c r="H134" s="74">
        <v>295</v>
      </c>
      <c r="I134" s="73">
        <v>2122</v>
      </c>
      <c r="J134" s="74">
        <v>2940</v>
      </c>
      <c r="K134" s="73">
        <v>3880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Instruções</vt:lpstr>
      <vt:lpstr>A̳ssets</vt:lpstr>
      <vt:lpstr>B̳ases</vt:lpstr>
      <vt:lpstr>C̳álculos</vt:lpstr>
      <vt:lpstr>D̳ashboard</vt:lpstr>
      <vt:lpstr>Dashboard Engine</vt:lpstr>
      <vt:lpstr>Pivot Engine</vt:lpstr>
      <vt:lpstr>DashboardMonths</vt:lpstr>
      <vt:lpstr>QuickPeriods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Edson Deveza</cp:lastModifiedBy>
  <dcterms:created xsi:type="dcterms:W3CDTF">2024-12-19T13:13:10Z</dcterms:created>
  <dcterms:modified xsi:type="dcterms:W3CDTF">2026-09-12T20:07:11Z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